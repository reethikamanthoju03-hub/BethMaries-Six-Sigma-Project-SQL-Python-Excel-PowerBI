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reethika/Desktop/Beth Maries New /"/>
    </mc:Choice>
  </mc:AlternateContent>
  <xr:revisionPtr revIDLastSave="0" documentId="13_ncr:1_{CDE71DCF-A08A-9642-8F37-2BF3E0A71EFA}" xr6:coauthVersionLast="47" xr6:coauthVersionMax="47" xr10:uidLastSave="{00000000-0000-0000-0000-000000000000}"/>
  <bookViews>
    <workbookView xWindow="0" yWindow="600" windowWidth="28800" windowHeight="17400" tabRatio="500" activeTab="2" xr2:uid="{00000000-000D-0000-FFFF-FFFF00000000}"/>
  </bookViews>
  <sheets>
    <sheet name="Original_Data" sheetId="1" r:id="rId1"/>
    <sheet name="Summary_Statistics" sheetId="2" r:id="rId2"/>
    <sheet name="Arrival_Rates_Reference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6" i="6" l="1"/>
  <c r="B8" i="6"/>
  <c r="K8" i="2"/>
  <c r="J8" i="2"/>
  <c r="I8" i="2"/>
  <c r="L7" i="2"/>
  <c r="K7" i="2"/>
  <c r="J7" i="2"/>
  <c r="I7" i="2"/>
  <c r="K6" i="2"/>
  <c r="J6" i="2"/>
  <c r="I6" i="2"/>
  <c r="L5" i="2"/>
  <c r="K5" i="2"/>
  <c r="J5" i="2"/>
  <c r="I5" i="2"/>
  <c r="K4" i="2"/>
  <c r="J4" i="2"/>
  <c r="I4" i="2"/>
  <c r="S3" i="2"/>
  <c r="R3" i="2"/>
  <c r="Q3" i="2"/>
  <c r="P3" i="2"/>
  <c r="O3" i="2"/>
  <c r="L3" i="2"/>
  <c r="K3" i="2"/>
  <c r="J3" i="2"/>
  <c r="I3" i="2"/>
  <c r="E51" i="1"/>
  <c r="E50" i="1"/>
  <c r="E49" i="1"/>
  <c r="E48" i="1"/>
  <c r="E47" i="1"/>
  <c r="E46" i="1"/>
  <c r="E45" i="1"/>
  <c r="E44" i="1"/>
  <c r="E43" i="1"/>
  <c r="E42" i="1"/>
  <c r="L8" i="2" s="1"/>
  <c r="E41" i="1"/>
  <c r="E40" i="1"/>
  <c r="E39" i="1"/>
  <c r="L6" i="2" s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L4" i="2" s="1"/>
</calcChain>
</file>

<file path=xl/sharedStrings.xml><?xml version="1.0" encoding="utf-8"?>
<sst xmlns="http://schemas.openxmlformats.org/spreadsheetml/2006/main" count="108" uniqueCount="42">
  <si>
    <t>Customer_ID</t>
  </si>
  <si>
    <t>Decision_Time_sec</t>
  </si>
  <si>
    <t>Scoop_Time_sec</t>
  </si>
  <si>
    <t>Checkout_Time_sec</t>
  </si>
  <si>
    <t>Total_Service_Time_sec</t>
  </si>
  <si>
    <t>Item</t>
  </si>
  <si>
    <t>Data Dictionary</t>
  </si>
  <si>
    <t>Cup</t>
  </si>
  <si>
    <t>Column</t>
  </si>
  <si>
    <t>Description</t>
  </si>
  <si>
    <t>Cone</t>
  </si>
  <si>
    <t>Sequential customer number</t>
  </si>
  <si>
    <t>Time spent choosing an order</t>
  </si>
  <si>
    <t>Time spent preparing the order</t>
  </si>
  <si>
    <t>Time spent paying</t>
  </si>
  <si>
    <t>Sum of all service stages</t>
  </si>
  <si>
    <t>Product ordered</t>
  </si>
  <si>
    <t>Shake</t>
  </si>
  <si>
    <t>Sundae</t>
  </si>
  <si>
    <t>Split</t>
  </si>
  <si>
    <t>Category</t>
  </si>
  <si>
    <t xml:space="preserve">Average Decision Time </t>
  </si>
  <si>
    <t>Average Scoop Time</t>
  </si>
  <si>
    <t>Average Checkout Time</t>
  </si>
  <si>
    <t>Average Service Time</t>
  </si>
  <si>
    <t xml:space="preserve">Split </t>
  </si>
  <si>
    <t>Overall</t>
  </si>
  <si>
    <t>Friday</t>
  </si>
  <si>
    <t>Time</t>
  </si>
  <si>
    <t>Avg Customer/hour</t>
  </si>
  <si>
    <t>6pm-7pm</t>
  </si>
  <si>
    <t>7pm-8pm</t>
  </si>
  <si>
    <t>8pm-9pm</t>
  </si>
  <si>
    <t>9pm-10pm</t>
  </si>
  <si>
    <t>10pm-11pm</t>
  </si>
  <si>
    <t>Average 6-11pm</t>
  </si>
  <si>
    <t>Saturday</t>
  </si>
  <si>
    <t>2pm-6pm</t>
  </si>
  <si>
    <t>8pm-11pm</t>
  </si>
  <si>
    <t>Average</t>
  </si>
  <si>
    <t>Sunday</t>
  </si>
  <si>
    <t>2pm-10pm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</si>
</sst>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charset val="1"/>
    </font>
    <font>
      <b/>
      <sz val="12"/>
      <name val="&quot;Aptos Narrow&quot;"/>
      <charset val="1"/>
    </font>
    <font>
      <b/>
      <sz val="12"/>
      <name val="&quot;Aptos Narrow (Body)&quot;"/>
      <charset val="1"/>
    </font>
    <font>
      <b/>
      <sz val="12"/>
      <name val="Arial"/>
      <family val="2"/>
    </font>
    <font>
      <sz val="11"/>
      <color theme="1"/>
      <name val="Arial"/>
      <family val="2"/>
    </font>
    <font>
      <b/>
      <sz val="12"/>
      <name val="Cambria"/>
      <family val="1"/>
    </font>
    <font>
      <b/>
      <sz val="11"/>
      <name val="Cambria"/>
      <family val="1"/>
    </font>
    <font>
      <sz val="12"/>
      <color rgb="FF000000"/>
      <name val="&quot;Aptos Narrow&quot;"/>
      <charset val="1"/>
    </font>
    <font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ADD8E6"/>
        <bgColor rgb="FF9FC5E8"/>
      </patternFill>
    </fill>
    <fill>
      <patternFill patternType="solid">
        <fgColor rgb="FF9FC5E8"/>
        <bgColor rgb="FFADD8E6"/>
      </patternFill>
    </fill>
    <fill>
      <patternFill patternType="solid">
        <fgColor rgb="FFB6D7A8"/>
        <bgColor rgb="FFADD8E6"/>
      </patternFill>
    </fill>
    <fill>
      <patternFill patternType="solid">
        <fgColor rgb="FFB7B7B7"/>
        <bgColor rgb="FF9FC5E8"/>
      </patternFill>
    </fill>
    <fill>
      <patternFill patternType="solid">
        <fgColor rgb="FFFFE599"/>
        <bgColor rgb="FFFFF2CC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7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4" fillId="0" borderId="0" xfId="0" applyFont="1" applyAlignment="1">
      <alignment vertical="center"/>
    </xf>
    <xf numFmtId="2" fontId="4" fillId="0" borderId="0" xfId="0" applyNumberFormat="1" applyFont="1" applyAlignment="1">
      <alignment vertical="center"/>
    </xf>
    <xf numFmtId="0" fontId="6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vertical="center"/>
    </xf>
    <xf numFmtId="2" fontId="4" fillId="0" borderId="1" xfId="0" applyNumberFormat="1" applyFont="1" applyBorder="1" applyAlignment="1">
      <alignment vertical="center"/>
    </xf>
    <xf numFmtId="10" fontId="4" fillId="0" borderId="0" xfId="0" applyNumberFormat="1" applyFont="1"/>
    <xf numFmtId="0" fontId="4" fillId="0" borderId="0" xfId="0" applyFont="1" applyAlignment="1">
      <alignment horizontal="left" vertical="center"/>
    </xf>
    <xf numFmtId="0" fontId="4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6" borderId="0" xfId="0" applyFont="1" applyFill="1"/>
    <xf numFmtId="0" fontId="7" fillId="0" borderId="0" xfId="0" applyFont="1"/>
    <xf numFmtId="0" fontId="7" fillId="0" borderId="0" xfId="0" applyFont="1" applyAlignment="1">
      <alignment horizontal="right"/>
    </xf>
    <xf numFmtId="0" fontId="8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757575"/>
      <rgbColor rgb="FF9999FF"/>
      <rgbColor rgb="FF993366"/>
      <rgbColor rgb="FFFFF2CC"/>
      <rgbColor rgb="FFADD8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6D7A8"/>
      <rgbColor rgb="FFFFFF99"/>
      <rgbColor rgb="FF9FC5E8"/>
      <rgbColor rgb="FFFF99CC"/>
      <rgbColor rgb="FFCC99FF"/>
      <rgbColor rgb="FFFFE599"/>
      <rgbColor rgb="FF3366FF"/>
      <rgbColor rgb="FF33CCCC"/>
      <rgbColor rgb="FF99CC00"/>
      <rgbColor rgb="FFFFCC00"/>
      <rgbColor rgb="FFFF9900"/>
      <rgbColor rgb="FFFF6600"/>
      <rgbColor rgb="FF666699"/>
      <rgbColor rgb="FF8B8B8B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rial"/>
                <a:ea typeface="Arial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Arial"/>
                <a:ea typeface="Arial"/>
              </a:rPr>
              <a:t>Average Customer Process by Stage</a:t>
            </a:r>
          </a:p>
        </c:rich>
      </c:tx>
      <c:overlay val="0"/>
      <c:spPr>
        <a:noFill/>
        <a:ln w="0">
          <a:noFill/>
        </a:ln>
      </c:spPr>
    </c:title>
    <c:autoTitleDeleted val="0"/>
    <c:view3D>
      <c:rotX val="15"/>
      <c:rotY val="20"/>
      <c:rAngAx val="1"/>
    </c:view3D>
    <c:floor>
      <c:thickness val="0"/>
      <c:spPr>
        <a:noFill/>
        <a:ln w="6480">
          <a:solidFill>
            <a:srgbClr val="8B8B8B"/>
          </a:solidFill>
          <a:round/>
        </a:ln>
      </c:spPr>
    </c:floor>
    <c:sideWall>
      <c:thickness val="0"/>
      <c:spPr>
        <a:noFill/>
        <a:ln w="6480">
          <a:solidFill>
            <a:srgbClr val="8B8B8B"/>
          </a:solidFill>
          <a:round/>
        </a:ln>
      </c:spPr>
    </c:sideWall>
    <c:backWall>
      <c:thickness val="0"/>
      <c:spPr>
        <a:noFill/>
        <a:ln w="6480">
          <a:solidFill>
            <a:srgbClr val="8B8B8B"/>
          </a:solidFill>
          <a:round/>
        </a:ln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rgbClr val="4285F4"/>
            </a:solidFill>
            <a:ln w="0">
              <a:noFill/>
            </a:ln>
          </c:spPr>
          <c:invertIfNegative val="0"/>
          <c:extLst>
            <c:ext xmlns:c16="http://schemas.microsoft.com/office/drawing/2014/chart" uri="{C3380CC4-5D6E-409C-BE32-E72D297353CC}">
              <c16:uniqueId val="{00000000-0625-3946-9223-2BF3AEA467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0490848"/>
        <c:axId val="50279180"/>
        <c:axId val="0"/>
      </c:bar3DChart>
      <c:catAx>
        <c:axId val="504908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Arial"/>
                    <a:ea typeface="Arial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Arial"/>
              </a:defRPr>
            </a:pPr>
            <a:endParaRPr lang="en-US"/>
          </a:p>
        </c:txPr>
        <c:crossAx val="50279180"/>
        <c:crosses val="autoZero"/>
        <c:auto val="1"/>
        <c:lblAlgn val="ctr"/>
        <c:lblOffset val="100"/>
        <c:noMultiLvlLbl val="0"/>
      </c:catAx>
      <c:valAx>
        <c:axId val="50279180"/>
        <c:scaling>
          <c:orientation val="minMax"/>
        </c:scaling>
        <c:delete val="0"/>
        <c:axPos val="l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minorGridlines>
          <c:spPr>
            <a:ln w="6480">
              <a:solidFill>
                <a:srgbClr val="CCCCCC"/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sz="1800" b="0" strike="noStrike" spc="-1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lang="en-US" sz="1800" b="0" strike="noStrike" spc="-1">
                    <a:solidFill>
                      <a:srgbClr val="000000"/>
                    </a:solidFill>
                    <a:latin typeface="Arial"/>
                    <a:ea typeface="Arial"/>
                  </a:rPr>
                  <a:t>Seconds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Arial"/>
              </a:defRPr>
            </a:pPr>
            <a:endParaRPr lang="en-US"/>
          </a:p>
        </c:txPr>
        <c:crossAx val="50490848"/>
        <c:crosses val="autoZero"/>
        <c:crossBetween val="between"/>
      </c:valAx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1A1A1A"/>
              </a:solidFill>
              <a:latin typeface="Arial"/>
              <a:ea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2CC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757575"/>
                </a:solidFill>
                <a:latin typeface="Arial"/>
                <a:ea typeface="Arial"/>
              </a:defRPr>
            </a:pPr>
            <a:r>
              <a:rPr lang="en-US" sz="1800" b="1" strike="noStrike" spc="-1">
                <a:solidFill>
                  <a:srgbClr val="757575"/>
                </a:solidFill>
                <a:latin typeface="Arial"/>
                <a:ea typeface="Arial"/>
              </a:rPr>
              <a:t>Unit Sales in Percentage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285F4"/>
            </a:solidFill>
            <a:ln w="0">
              <a:noFill/>
            </a:ln>
          </c:spPr>
          <c:extLst>
            <c:ext xmlns:c16="http://schemas.microsoft.com/office/drawing/2014/chart" uri="{C3380CC4-5D6E-409C-BE32-E72D297353CC}">
              <c16:uniqueId val="{00000000-740C-8C49-94AD-346029450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1A1A1A"/>
              </a:solidFill>
              <a:latin typeface="Arial"/>
              <a:ea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2CC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438120</xdr:colOff>
      <xdr:row>16</xdr:row>
      <xdr:rowOff>114480</xdr:rowOff>
    </xdr:from>
    <xdr:to>
      <xdr:col>19</xdr:col>
      <xdr:colOff>811080</xdr:colOff>
      <xdr:row>28</xdr:row>
      <xdr:rowOff>218880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438120</xdr:colOff>
      <xdr:row>3</xdr:row>
      <xdr:rowOff>209520</xdr:rowOff>
    </xdr:from>
    <xdr:to>
      <xdr:col>19</xdr:col>
      <xdr:colOff>811080</xdr:colOff>
      <xdr:row>16</xdr:row>
      <xdr:rowOff>28080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51" totalsRowShown="0">
  <tableColumns count="6">
    <tableColumn id="1" xr3:uid="{00000000-0010-0000-0000-000001000000}" name="Customer_ID"/>
    <tableColumn id="2" xr3:uid="{00000000-0010-0000-0000-000002000000}" name="Decision_Time_sec"/>
    <tableColumn id="3" xr3:uid="{00000000-0010-0000-0000-000003000000}" name="Scoop_Time_sec"/>
    <tableColumn id="4" xr3:uid="{00000000-0010-0000-0000-000004000000}" name="Checkout_Time_sec"/>
    <tableColumn id="5" xr3:uid="{00000000-0010-0000-0000-000005000000}" name="Total_Service_Time_sec"/>
    <tableColumn id="6" xr3:uid="{00000000-0010-0000-0000-000006000000}" name="Ite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H2:L8" totalsRowShown="0">
  <tableColumns count="5">
    <tableColumn id="1" xr3:uid="{00000000-0010-0000-0100-000001000000}" name="Category"/>
    <tableColumn id="2" xr3:uid="{00000000-0010-0000-0100-000002000000}" name="Average Decision Time "/>
    <tableColumn id="3" xr3:uid="{00000000-0010-0000-0100-000003000000}" name="Average Scoop Time"/>
    <tableColumn id="4" xr3:uid="{00000000-0010-0000-0100-000004000000}" name="Average Checkout Time"/>
    <tableColumn id="5" xr3:uid="{00000000-0010-0000-0100-000005000000}" name="Average Service Tim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51"/>
  <sheetViews>
    <sheetView zoomScaleNormal="100"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3"/>
  <cols>
    <col min="1" max="1" width="18.1640625" customWidth="1"/>
    <col min="2" max="2" width="26.33203125" customWidth="1"/>
    <col min="3" max="3" width="23.6640625" customWidth="1"/>
    <col min="4" max="4" width="26.6640625" customWidth="1"/>
    <col min="5" max="5" width="26.1640625" customWidth="1"/>
    <col min="6" max="6" width="28.33203125" customWidth="1"/>
    <col min="8" max="8" width="24" customWidth="1"/>
    <col min="9" max="9" width="38" customWidth="1"/>
    <col min="10" max="10" width="14.6640625" customWidth="1"/>
    <col min="11" max="11" width="15.6640625" customWidth="1"/>
    <col min="12" max="12" width="14.6640625" customWidth="1"/>
  </cols>
  <sheetData>
    <row r="1" spans="1:20" ht="35.25" customHeight="1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5"/>
      <c r="H1" s="6" t="s">
        <v>6</v>
      </c>
    </row>
    <row r="2" spans="1:20" ht="22.5" customHeight="1">
      <c r="A2" s="7">
        <v>1</v>
      </c>
      <c r="B2" s="8">
        <v>11.4</v>
      </c>
      <c r="C2" s="8">
        <v>29.54</v>
      </c>
      <c r="D2" s="8">
        <v>19.71</v>
      </c>
      <c r="E2" s="8">
        <f t="shared" ref="E2:E33" si="0">SUM(C2:D2)</f>
        <v>49.25</v>
      </c>
      <c r="F2" s="7" t="s">
        <v>7</v>
      </c>
      <c r="H2" s="9" t="s">
        <v>8</v>
      </c>
      <c r="I2" s="10" t="s">
        <v>9</v>
      </c>
      <c r="J2" s="11"/>
      <c r="K2" s="11"/>
      <c r="L2" s="11"/>
      <c r="O2" s="12"/>
      <c r="P2" s="12"/>
      <c r="Q2" s="12"/>
      <c r="R2" s="5"/>
      <c r="S2" s="5"/>
    </row>
    <row r="3" spans="1:20" ht="22.5" customHeight="1">
      <c r="A3" s="7">
        <v>2</v>
      </c>
      <c r="B3" s="8">
        <v>8.68</v>
      </c>
      <c r="C3" s="8">
        <v>20.16</v>
      </c>
      <c r="D3" s="8">
        <v>21.21</v>
      </c>
      <c r="E3" s="8">
        <f t="shared" si="0"/>
        <v>41.370000000000005</v>
      </c>
      <c r="F3" s="7" t="s">
        <v>10</v>
      </c>
      <c r="H3" s="13" t="s">
        <v>0</v>
      </c>
      <c r="I3" s="14" t="s">
        <v>11</v>
      </c>
      <c r="J3" s="8"/>
      <c r="K3" s="8"/>
      <c r="L3" s="8"/>
      <c r="O3" s="5"/>
      <c r="P3" s="5"/>
      <c r="Q3" s="5"/>
      <c r="R3" s="5"/>
      <c r="S3" s="5"/>
    </row>
    <row r="4" spans="1:20" ht="22.5" customHeight="1">
      <c r="A4" s="7">
        <v>3</v>
      </c>
      <c r="B4" s="8">
        <v>41.98</v>
      </c>
      <c r="C4" s="8">
        <v>17.88</v>
      </c>
      <c r="D4" s="8">
        <v>16.73</v>
      </c>
      <c r="E4" s="8">
        <f t="shared" si="0"/>
        <v>34.61</v>
      </c>
      <c r="F4" s="7" t="s">
        <v>7</v>
      </c>
      <c r="H4" s="13" t="s">
        <v>1</v>
      </c>
      <c r="I4" s="14" t="s">
        <v>12</v>
      </c>
      <c r="J4" s="8"/>
      <c r="K4" s="8"/>
      <c r="L4" s="8"/>
    </row>
    <row r="5" spans="1:20" ht="22.5" customHeight="1">
      <c r="A5" s="7">
        <v>4</v>
      </c>
      <c r="B5" s="8">
        <v>12.59</v>
      </c>
      <c r="C5" s="8">
        <v>29.76</v>
      </c>
      <c r="D5" s="8">
        <v>25.44</v>
      </c>
      <c r="E5" s="8">
        <f t="shared" si="0"/>
        <v>55.2</v>
      </c>
      <c r="F5" s="7" t="s">
        <v>10</v>
      </c>
      <c r="H5" s="13" t="s">
        <v>2</v>
      </c>
      <c r="I5" s="14" t="s">
        <v>13</v>
      </c>
      <c r="J5" s="8"/>
      <c r="K5" s="8"/>
      <c r="L5" s="8"/>
      <c r="T5" s="15"/>
    </row>
    <row r="6" spans="1:20" ht="22.5" customHeight="1">
      <c r="A6" s="7">
        <v>5</v>
      </c>
      <c r="B6" s="8">
        <v>38.53</v>
      </c>
      <c r="C6" s="8">
        <v>13.81</v>
      </c>
      <c r="D6" s="8">
        <v>15.16</v>
      </c>
      <c r="E6" s="8">
        <f t="shared" si="0"/>
        <v>28.97</v>
      </c>
      <c r="F6" s="7" t="s">
        <v>7</v>
      </c>
      <c r="H6" s="13" t="s">
        <v>3</v>
      </c>
      <c r="I6" s="14" t="s">
        <v>14</v>
      </c>
      <c r="J6" s="8"/>
      <c r="K6" s="8"/>
      <c r="L6" s="8"/>
    </row>
    <row r="7" spans="1:20" ht="22.5" customHeight="1">
      <c r="A7" s="7">
        <v>6</v>
      </c>
      <c r="B7" s="8">
        <v>26.1</v>
      </c>
      <c r="C7" s="8">
        <v>9.6</v>
      </c>
      <c r="D7" s="8">
        <v>13.55</v>
      </c>
      <c r="E7" s="8">
        <f t="shared" si="0"/>
        <v>23.15</v>
      </c>
      <c r="F7" s="7" t="s">
        <v>7</v>
      </c>
      <c r="H7" s="13" t="s">
        <v>4</v>
      </c>
      <c r="I7" s="14" t="s">
        <v>15</v>
      </c>
      <c r="J7" s="8"/>
      <c r="K7" s="8"/>
      <c r="L7" s="8"/>
    </row>
    <row r="8" spans="1:20" ht="22.5" customHeight="1">
      <c r="A8" s="7">
        <v>7</v>
      </c>
      <c r="B8" s="8">
        <v>14.83</v>
      </c>
      <c r="C8" s="8">
        <v>31.53</v>
      </c>
      <c r="D8" s="8">
        <v>16.579999999999998</v>
      </c>
      <c r="E8" s="8">
        <f t="shared" si="0"/>
        <v>48.11</v>
      </c>
      <c r="F8" s="7" t="s">
        <v>7</v>
      </c>
      <c r="H8" s="13" t="s">
        <v>5</v>
      </c>
      <c r="I8" s="14" t="s">
        <v>16</v>
      </c>
      <c r="J8" s="8"/>
      <c r="K8" s="8"/>
      <c r="L8" s="8"/>
    </row>
    <row r="9" spans="1:20" ht="22.5" customHeight="1">
      <c r="A9" s="7">
        <v>8</v>
      </c>
      <c r="B9" s="8">
        <v>33.130000000000003</v>
      </c>
      <c r="C9" s="8">
        <v>18.760000000000002</v>
      </c>
      <c r="D9" s="8">
        <v>24.09</v>
      </c>
      <c r="E9" s="8">
        <f t="shared" si="0"/>
        <v>42.85</v>
      </c>
      <c r="F9" s="7" t="s">
        <v>7</v>
      </c>
    </row>
    <row r="10" spans="1:20" ht="22.5" customHeight="1">
      <c r="A10" s="7">
        <v>9</v>
      </c>
      <c r="B10" s="8">
        <v>92.51</v>
      </c>
      <c r="C10" s="8">
        <v>42.34</v>
      </c>
      <c r="D10" s="8">
        <v>15.11</v>
      </c>
      <c r="E10" s="8">
        <f t="shared" si="0"/>
        <v>57.45</v>
      </c>
      <c r="F10" s="7" t="s">
        <v>10</v>
      </c>
    </row>
    <row r="11" spans="1:20" ht="22.5" customHeight="1">
      <c r="A11" s="7">
        <v>10</v>
      </c>
      <c r="B11" s="8">
        <v>30.51</v>
      </c>
      <c r="C11" s="8">
        <v>31.46</v>
      </c>
      <c r="D11" s="8">
        <v>17.66</v>
      </c>
      <c r="E11" s="8">
        <f t="shared" si="0"/>
        <v>49.120000000000005</v>
      </c>
      <c r="F11" s="7" t="s">
        <v>10</v>
      </c>
    </row>
    <row r="12" spans="1:20" ht="22.5" customHeight="1">
      <c r="A12" s="7">
        <v>11</v>
      </c>
      <c r="B12" s="8">
        <v>173.16</v>
      </c>
      <c r="C12" s="8">
        <v>49.94</v>
      </c>
      <c r="D12" s="8">
        <v>19.91</v>
      </c>
      <c r="E12" s="8">
        <f t="shared" si="0"/>
        <v>69.849999999999994</v>
      </c>
      <c r="F12" s="7" t="s">
        <v>7</v>
      </c>
      <c r="G12" s="5"/>
    </row>
    <row r="13" spans="1:20" ht="22.5" customHeight="1">
      <c r="A13" s="7">
        <v>12</v>
      </c>
      <c r="B13" s="8">
        <v>19.23</v>
      </c>
      <c r="C13" s="8">
        <v>38.11</v>
      </c>
      <c r="D13" s="8">
        <v>25.08</v>
      </c>
      <c r="E13" s="8">
        <f t="shared" si="0"/>
        <v>63.19</v>
      </c>
      <c r="F13" s="7" t="s">
        <v>10</v>
      </c>
    </row>
    <row r="14" spans="1:20" ht="22.5" customHeight="1">
      <c r="A14" s="7">
        <v>13</v>
      </c>
      <c r="B14" s="8">
        <v>23.01</v>
      </c>
      <c r="C14" s="8">
        <v>14.35</v>
      </c>
      <c r="D14" s="8">
        <v>17.510000000000002</v>
      </c>
      <c r="E14" s="8">
        <f t="shared" si="0"/>
        <v>31.86</v>
      </c>
      <c r="F14" s="7" t="s">
        <v>10</v>
      </c>
    </row>
    <row r="15" spans="1:20" ht="22.5" customHeight="1">
      <c r="A15" s="7">
        <v>14</v>
      </c>
      <c r="B15" s="8">
        <v>9.9</v>
      </c>
      <c r="C15" s="8">
        <v>31.13</v>
      </c>
      <c r="D15" s="8">
        <v>24.73</v>
      </c>
      <c r="E15" s="8">
        <f t="shared" si="0"/>
        <v>55.86</v>
      </c>
      <c r="F15" s="7" t="s">
        <v>10</v>
      </c>
    </row>
    <row r="16" spans="1:20" ht="22.5" customHeight="1">
      <c r="A16" s="7">
        <v>15</v>
      </c>
      <c r="B16" s="8">
        <v>13.75</v>
      </c>
      <c r="C16" s="8">
        <v>30.2</v>
      </c>
      <c r="D16" s="8">
        <v>27.48</v>
      </c>
      <c r="E16" s="8">
        <f t="shared" si="0"/>
        <v>57.68</v>
      </c>
      <c r="F16" s="7" t="s">
        <v>7</v>
      </c>
    </row>
    <row r="17" spans="1:6" ht="22.5" customHeight="1">
      <c r="A17" s="7">
        <v>16</v>
      </c>
      <c r="B17" s="8">
        <v>138.86000000000001</v>
      </c>
      <c r="C17" s="8">
        <v>43.76</v>
      </c>
      <c r="D17" s="8">
        <v>21.31</v>
      </c>
      <c r="E17" s="8">
        <f t="shared" si="0"/>
        <v>65.069999999999993</v>
      </c>
      <c r="F17" s="7" t="s">
        <v>10</v>
      </c>
    </row>
    <row r="18" spans="1:6" ht="22.5" customHeight="1">
      <c r="A18" s="7">
        <v>17</v>
      </c>
      <c r="B18" s="8">
        <v>30.06</v>
      </c>
      <c r="C18" s="8">
        <v>19.05</v>
      </c>
      <c r="D18" s="8">
        <v>22.84</v>
      </c>
      <c r="E18" s="8">
        <f t="shared" si="0"/>
        <v>41.89</v>
      </c>
      <c r="F18" s="7" t="s">
        <v>10</v>
      </c>
    </row>
    <row r="19" spans="1:6" ht="22.5" customHeight="1">
      <c r="A19" s="7">
        <v>18</v>
      </c>
      <c r="B19" s="8">
        <v>44.05</v>
      </c>
      <c r="C19" s="8">
        <v>12.3</v>
      </c>
      <c r="D19" s="8">
        <v>27.78</v>
      </c>
      <c r="E19" s="8">
        <f t="shared" si="0"/>
        <v>40.08</v>
      </c>
      <c r="F19" s="7" t="s">
        <v>10</v>
      </c>
    </row>
    <row r="20" spans="1:6" ht="22.5" customHeight="1">
      <c r="A20" s="7">
        <v>19</v>
      </c>
      <c r="B20" s="8">
        <v>87.25</v>
      </c>
      <c r="C20" s="8">
        <v>106.7</v>
      </c>
      <c r="D20" s="8">
        <v>29.45</v>
      </c>
      <c r="E20" s="8">
        <f t="shared" si="0"/>
        <v>136.15</v>
      </c>
      <c r="F20" s="7" t="s">
        <v>7</v>
      </c>
    </row>
    <row r="21" spans="1:6" ht="22.5" customHeight="1">
      <c r="A21" s="7">
        <v>20</v>
      </c>
      <c r="B21" s="8">
        <v>22.24</v>
      </c>
      <c r="C21" s="8">
        <v>39.21</v>
      </c>
      <c r="D21" s="8">
        <v>17.75</v>
      </c>
      <c r="E21" s="8">
        <f t="shared" si="0"/>
        <v>56.96</v>
      </c>
      <c r="F21" s="7" t="s">
        <v>7</v>
      </c>
    </row>
    <row r="22" spans="1:6" ht="22.5" customHeight="1">
      <c r="A22" s="7">
        <v>21</v>
      </c>
      <c r="B22" s="8">
        <v>61</v>
      </c>
      <c r="C22" s="8">
        <v>28.4</v>
      </c>
      <c r="D22" s="8">
        <v>26.8</v>
      </c>
      <c r="E22" s="8">
        <f t="shared" si="0"/>
        <v>55.2</v>
      </c>
      <c r="F22" s="7" t="s">
        <v>10</v>
      </c>
    </row>
    <row r="23" spans="1:6" ht="22.5" customHeight="1">
      <c r="A23" s="7">
        <v>22</v>
      </c>
      <c r="B23" s="8">
        <v>32.200000000000003</v>
      </c>
      <c r="C23" s="8">
        <v>20.05</v>
      </c>
      <c r="D23" s="8">
        <v>18.2</v>
      </c>
      <c r="E23" s="8">
        <f t="shared" si="0"/>
        <v>38.25</v>
      </c>
      <c r="F23" s="7" t="s">
        <v>10</v>
      </c>
    </row>
    <row r="24" spans="1:6" ht="22.5" customHeight="1">
      <c r="A24" s="7">
        <v>23</v>
      </c>
      <c r="B24" s="8">
        <v>28.32</v>
      </c>
      <c r="C24" s="8">
        <v>18.45</v>
      </c>
      <c r="D24" s="8">
        <v>22.24</v>
      </c>
      <c r="E24" s="8">
        <f t="shared" si="0"/>
        <v>40.69</v>
      </c>
      <c r="F24" s="7" t="s">
        <v>10</v>
      </c>
    </row>
    <row r="25" spans="1:6" ht="22.5" customHeight="1">
      <c r="A25" s="7">
        <v>24</v>
      </c>
      <c r="B25" s="8">
        <v>36.32</v>
      </c>
      <c r="C25" s="8">
        <v>32.18</v>
      </c>
      <c r="D25" s="8">
        <v>20.54</v>
      </c>
      <c r="E25" s="8">
        <f t="shared" si="0"/>
        <v>52.72</v>
      </c>
      <c r="F25" s="7" t="s">
        <v>7</v>
      </c>
    </row>
    <row r="26" spans="1:6" ht="22.5" customHeight="1">
      <c r="A26" s="7">
        <v>25</v>
      </c>
      <c r="B26" s="8">
        <v>43.15</v>
      </c>
      <c r="C26" s="8">
        <v>28.21</v>
      </c>
      <c r="D26" s="8">
        <v>22.43</v>
      </c>
      <c r="E26" s="8">
        <f t="shared" si="0"/>
        <v>50.64</v>
      </c>
      <c r="F26" s="7" t="s">
        <v>10</v>
      </c>
    </row>
    <row r="27" spans="1:6" ht="22.5" customHeight="1">
      <c r="A27" s="7">
        <v>26</v>
      </c>
      <c r="B27" s="8">
        <v>15.2</v>
      </c>
      <c r="C27" s="8">
        <v>70.430000000000007</v>
      </c>
      <c r="D27" s="8">
        <v>20.420000000000002</v>
      </c>
      <c r="E27" s="8">
        <f t="shared" si="0"/>
        <v>90.850000000000009</v>
      </c>
      <c r="F27" s="7" t="s">
        <v>17</v>
      </c>
    </row>
    <row r="28" spans="1:6" ht="22.5" customHeight="1">
      <c r="A28" s="7">
        <v>27</v>
      </c>
      <c r="B28" s="8">
        <v>13.55</v>
      </c>
      <c r="C28" s="8">
        <v>22.31</v>
      </c>
      <c r="D28" s="8">
        <v>16.510000000000002</v>
      </c>
      <c r="E28" s="8">
        <f t="shared" si="0"/>
        <v>38.82</v>
      </c>
      <c r="F28" s="7" t="s">
        <v>10</v>
      </c>
    </row>
    <row r="29" spans="1:6" ht="22.5" customHeight="1">
      <c r="A29" s="7">
        <v>28</v>
      </c>
      <c r="B29" s="8">
        <v>33.31</v>
      </c>
      <c r="C29" s="8">
        <v>23.12</v>
      </c>
      <c r="D29" s="8">
        <v>16.59</v>
      </c>
      <c r="E29" s="8">
        <f t="shared" si="0"/>
        <v>39.71</v>
      </c>
      <c r="F29" s="7" t="s">
        <v>10</v>
      </c>
    </row>
    <row r="30" spans="1:6" ht="22.5" customHeight="1">
      <c r="A30" s="7">
        <v>29</v>
      </c>
      <c r="B30" s="8">
        <v>32.119999999999997</v>
      </c>
      <c r="C30" s="8">
        <v>16.47</v>
      </c>
      <c r="D30" s="8">
        <v>23.47</v>
      </c>
      <c r="E30" s="8">
        <f t="shared" si="0"/>
        <v>39.94</v>
      </c>
      <c r="F30" s="7" t="s">
        <v>7</v>
      </c>
    </row>
    <row r="31" spans="1:6" ht="22.5" customHeight="1">
      <c r="A31" s="7">
        <v>30</v>
      </c>
      <c r="B31" s="8">
        <v>64.209999999999994</v>
      </c>
      <c r="C31" s="8">
        <v>52.32</v>
      </c>
      <c r="D31" s="8">
        <v>18.25</v>
      </c>
      <c r="E31" s="8">
        <f t="shared" si="0"/>
        <v>70.569999999999993</v>
      </c>
      <c r="F31" s="7" t="s">
        <v>17</v>
      </c>
    </row>
    <row r="32" spans="1:6" ht="22.5" customHeight="1">
      <c r="A32" s="7">
        <v>31</v>
      </c>
      <c r="B32" s="8">
        <v>25.3</v>
      </c>
      <c r="C32" s="8">
        <v>18.510000000000002</v>
      </c>
      <c r="D32" s="8">
        <v>26.42</v>
      </c>
      <c r="E32" s="8">
        <f t="shared" si="0"/>
        <v>44.930000000000007</v>
      </c>
      <c r="F32" s="7" t="s">
        <v>10</v>
      </c>
    </row>
    <row r="33" spans="1:6" ht="22.5" customHeight="1">
      <c r="A33" s="7">
        <v>32</v>
      </c>
      <c r="B33" s="8">
        <v>38.42</v>
      </c>
      <c r="C33" s="8">
        <v>25.42</v>
      </c>
      <c r="D33" s="8">
        <v>21.46</v>
      </c>
      <c r="E33" s="8">
        <f t="shared" si="0"/>
        <v>46.88</v>
      </c>
      <c r="F33" s="7" t="s">
        <v>10</v>
      </c>
    </row>
    <row r="34" spans="1:6" ht="22.5" customHeight="1">
      <c r="A34" s="7">
        <v>33</v>
      </c>
      <c r="B34" s="8">
        <v>37.549999999999997</v>
      </c>
      <c r="C34" s="8">
        <v>20.23</v>
      </c>
      <c r="D34" s="8">
        <v>17.579999999999998</v>
      </c>
      <c r="E34" s="8">
        <f t="shared" ref="E34:E65" si="1">SUM(C34:D34)</f>
        <v>37.81</v>
      </c>
      <c r="F34" s="7" t="s">
        <v>10</v>
      </c>
    </row>
    <row r="35" spans="1:6" ht="22.5" customHeight="1">
      <c r="A35" s="7">
        <v>34</v>
      </c>
      <c r="B35" s="8">
        <v>45.42</v>
      </c>
      <c r="C35" s="8">
        <v>30.43</v>
      </c>
      <c r="D35" s="8">
        <v>21.56</v>
      </c>
      <c r="E35" s="8">
        <f t="shared" si="1"/>
        <v>51.989999999999995</v>
      </c>
      <c r="F35" s="7" t="s">
        <v>7</v>
      </c>
    </row>
    <row r="36" spans="1:6" ht="22.5" customHeight="1">
      <c r="A36" s="7">
        <v>35</v>
      </c>
      <c r="B36" s="8">
        <v>34.549999999999997</v>
      </c>
      <c r="C36" s="8">
        <v>26.24</v>
      </c>
      <c r="D36" s="8">
        <v>23.45</v>
      </c>
      <c r="E36" s="8">
        <f t="shared" si="1"/>
        <v>49.69</v>
      </c>
      <c r="F36" s="7" t="s">
        <v>7</v>
      </c>
    </row>
    <row r="37" spans="1:6" ht="22.5" customHeight="1">
      <c r="A37" s="7">
        <v>36</v>
      </c>
      <c r="B37" s="8">
        <v>45</v>
      </c>
      <c r="C37" s="8">
        <v>22.13</v>
      </c>
      <c r="D37" s="8">
        <v>16.5</v>
      </c>
      <c r="E37" s="8">
        <f t="shared" si="1"/>
        <v>38.629999999999995</v>
      </c>
      <c r="F37" s="7" t="s">
        <v>10</v>
      </c>
    </row>
    <row r="38" spans="1:6" ht="22.5" customHeight="1">
      <c r="A38" s="7">
        <v>37</v>
      </c>
      <c r="B38" s="8">
        <v>32.43</v>
      </c>
      <c r="C38" s="8">
        <v>27.26</v>
      </c>
      <c r="D38" s="8">
        <v>15.2</v>
      </c>
      <c r="E38" s="8">
        <f t="shared" si="1"/>
        <v>42.46</v>
      </c>
      <c r="F38" s="7" t="s">
        <v>10</v>
      </c>
    </row>
    <row r="39" spans="1:6" ht="22.5" customHeight="1">
      <c r="A39" s="7">
        <v>38</v>
      </c>
      <c r="B39" s="8">
        <v>61.2</v>
      </c>
      <c r="C39" s="8">
        <v>32.119999999999997</v>
      </c>
      <c r="D39" s="8">
        <v>21.07</v>
      </c>
      <c r="E39" s="8">
        <f t="shared" si="1"/>
        <v>53.19</v>
      </c>
      <c r="F39" s="7" t="s">
        <v>18</v>
      </c>
    </row>
    <row r="40" spans="1:6" ht="22.5" customHeight="1">
      <c r="A40" s="7">
        <v>39</v>
      </c>
      <c r="B40" s="8">
        <v>23.5</v>
      </c>
      <c r="C40" s="8">
        <v>86.42</v>
      </c>
      <c r="D40" s="8">
        <v>19.239999999999998</v>
      </c>
      <c r="E40" s="8">
        <f t="shared" si="1"/>
        <v>105.66</v>
      </c>
      <c r="F40" s="7" t="s">
        <v>10</v>
      </c>
    </row>
    <row r="41" spans="1:6" ht="22.5" customHeight="1">
      <c r="A41" s="7">
        <v>40</v>
      </c>
      <c r="B41" s="8">
        <v>30.3</v>
      </c>
      <c r="C41" s="8">
        <v>25.31</v>
      </c>
      <c r="D41" s="8">
        <v>20.46</v>
      </c>
      <c r="E41" s="8">
        <f t="shared" si="1"/>
        <v>45.769999999999996</v>
      </c>
      <c r="F41" s="7" t="s">
        <v>7</v>
      </c>
    </row>
    <row r="42" spans="1:6" ht="22.5" customHeight="1">
      <c r="A42" s="7">
        <v>41</v>
      </c>
      <c r="B42" s="8">
        <v>42.43</v>
      </c>
      <c r="C42" s="8">
        <v>30.24</v>
      </c>
      <c r="D42" s="8">
        <v>16.34</v>
      </c>
      <c r="E42" s="8">
        <f t="shared" si="1"/>
        <v>46.58</v>
      </c>
      <c r="F42" s="7" t="s">
        <v>19</v>
      </c>
    </row>
    <row r="43" spans="1:6" ht="22.5" customHeight="1">
      <c r="A43" s="7">
        <v>42</v>
      </c>
      <c r="B43" s="8">
        <v>34.15</v>
      </c>
      <c r="C43" s="8">
        <v>26.4</v>
      </c>
      <c r="D43" s="8">
        <v>21.5</v>
      </c>
      <c r="E43" s="8">
        <f t="shared" si="1"/>
        <v>47.9</v>
      </c>
      <c r="F43" s="7" t="s">
        <v>10</v>
      </c>
    </row>
    <row r="44" spans="1:6" ht="22.5" customHeight="1">
      <c r="A44" s="7">
        <v>43</v>
      </c>
      <c r="B44" s="8">
        <v>22</v>
      </c>
      <c r="C44" s="8">
        <v>22</v>
      </c>
      <c r="D44" s="8">
        <v>16</v>
      </c>
      <c r="E44" s="8">
        <f t="shared" si="1"/>
        <v>38</v>
      </c>
      <c r="F44" s="7" t="s">
        <v>7</v>
      </c>
    </row>
    <row r="45" spans="1:6" ht="22.5" customHeight="1">
      <c r="A45" s="7">
        <v>44</v>
      </c>
      <c r="B45" s="8">
        <v>19.5</v>
      </c>
      <c r="C45" s="8">
        <v>19</v>
      </c>
      <c r="D45" s="8">
        <v>20.079999999999998</v>
      </c>
      <c r="E45" s="8">
        <f t="shared" si="1"/>
        <v>39.08</v>
      </c>
      <c r="F45" s="7" t="s">
        <v>7</v>
      </c>
    </row>
    <row r="46" spans="1:6" ht="22.5" customHeight="1">
      <c r="A46" s="7">
        <v>45</v>
      </c>
      <c r="B46" s="8">
        <v>22.12</v>
      </c>
      <c r="C46" s="8">
        <v>21.5</v>
      </c>
      <c r="D46" s="8">
        <v>16.600000000000001</v>
      </c>
      <c r="E46" s="8">
        <f t="shared" si="1"/>
        <v>38.1</v>
      </c>
      <c r="F46" s="7" t="s">
        <v>10</v>
      </c>
    </row>
    <row r="47" spans="1:6" ht="22.5" customHeight="1">
      <c r="A47" s="7">
        <v>46</v>
      </c>
      <c r="B47" s="8">
        <v>22.2</v>
      </c>
      <c r="C47" s="8">
        <v>19</v>
      </c>
      <c r="D47" s="8">
        <v>16.5</v>
      </c>
      <c r="E47" s="8">
        <f t="shared" si="1"/>
        <v>35.5</v>
      </c>
      <c r="F47" s="7" t="s">
        <v>10</v>
      </c>
    </row>
    <row r="48" spans="1:6" ht="22.5" customHeight="1">
      <c r="A48" s="7">
        <v>47</v>
      </c>
      <c r="B48" s="8">
        <v>33.32</v>
      </c>
      <c r="C48" s="8">
        <v>25.6</v>
      </c>
      <c r="D48" s="8">
        <v>18.600000000000001</v>
      </c>
      <c r="E48" s="8">
        <f t="shared" si="1"/>
        <v>44.2</v>
      </c>
      <c r="F48" s="7" t="s">
        <v>19</v>
      </c>
    </row>
    <row r="49" spans="1:6" ht="22.5" customHeight="1">
      <c r="A49" s="7">
        <v>48</v>
      </c>
      <c r="B49" s="8">
        <v>22.2</v>
      </c>
      <c r="C49" s="8">
        <v>25.7</v>
      </c>
      <c r="D49" s="8">
        <v>18.71</v>
      </c>
      <c r="E49" s="8">
        <f t="shared" si="1"/>
        <v>44.41</v>
      </c>
      <c r="F49" s="7" t="s">
        <v>7</v>
      </c>
    </row>
    <row r="50" spans="1:6" ht="22.5" customHeight="1">
      <c r="A50" s="7">
        <v>49</v>
      </c>
      <c r="B50" s="8">
        <v>18.190000000000001</v>
      </c>
      <c r="C50" s="8">
        <v>26.26</v>
      </c>
      <c r="D50" s="8">
        <v>19.3</v>
      </c>
      <c r="E50" s="8">
        <f t="shared" si="1"/>
        <v>45.56</v>
      </c>
      <c r="F50" s="7" t="s">
        <v>19</v>
      </c>
    </row>
    <row r="51" spans="1:6" ht="22.5" customHeight="1">
      <c r="A51" s="7">
        <v>50</v>
      </c>
      <c r="B51" s="8">
        <v>32.299999999999997</v>
      </c>
      <c r="C51" s="8">
        <v>40.5</v>
      </c>
      <c r="D51" s="8">
        <v>18.899999999999999</v>
      </c>
      <c r="E51" s="8">
        <f t="shared" si="1"/>
        <v>59.4</v>
      </c>
      <c r="F51" s="7" t="s">
        <v>18</v>
      </c>
    </row>
  </sheetData>
  <dataValidations count="2">
    <dataValidation type="list" allowBlank="1" sqref="F2:F51" xr:uid="{00000000-0002-0000-0000-000000000000}">
      <formula1>"Cup,Cone,Sundae,shake,Split"</formula1>
      <formula2>0</formula2>
    </dataValidation>
    <dataValidation type="custom" allowBlank="1" showDropDown="1" sqref="A2:E51 I3:L8" xr:uid="{00000000-0002-0000-0000-000001000000}">
      <formula1>AND(ISNUMBER(A2),(NOT(OR(NOT(ISERROR(DATEVALUE(A2))), AND(ISNUMBER(A2), LEFT(CELL("format", A2))="D")))))</formula1>
      <formula2>0</formula2>
    </dataValidation>
  </dataValidations>
  <printOptions horizontalCentered="1" gridLines="1"/>
  <pageMargins left="0.7" right="0.7" top="0.75" bottom="0.75" header="0.511811023622047" footer="0.511811023622047"/>
  <pageSetup fitToHeight="0" pageOrder="overThenDown" orientation="landscape" horizontalDpi="300" verticalDpi="300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H2:S8"/>
  <sheetViews>
    <sheetView zoomScaleNormal="100" workbookViewId="0">
      <selection activeCell="I3" sqref="I3"/>
    </sheetView>
  </sheetViews>
  <sheetFormatPr baseColWidth="10" defaultColWidth="8.6640625" defaultRowHeight="13"/>
  <cols>
    <col min="9" max="9" width="15.1640625" customWidth="1"/>
    <col min="10" max="10" width="14.6640625" customWidth="1"/>
    <col min="11" max="11" width="15.6640625" customWidth="1"/>
    <col min="12" max="12" width="14.6640625" customWidth="1"/>
  </cols>
  <sheetData>
    <row r="2" spans="8:19" ht="30">
      <c r="H2" s="16" t="s">
        <v>20</v>
      </c>
      <c r="I2" s="11" t="s">
        <v>21</v>
      </c>
      <c r="J2" s="11" t="s">
        <v>22</v>
      </c>
      <c r="K2" s="11" t="s">
        <v>23</v>
      </c>
      <c r="L2" s="11" t="s">
        <v>24</v>
      </c>
      <c r="O2" s="17" t="s">
        <v>10</v>
      </c>
      <c r="P2" s="18" t="s">
        <v>7</v>
      </c>
      <c r="Q2" s="19" t="s">
        <v>17</v>
      </c>
      <c r="R2" s="20" t="s">
        <v>25</v>
      </c>
      <c r="S2" s="5" t="s">
        <v>18</v>
      </c>
    </row>
    <row r="3" spans="8:19" ht="14">
      <c r="H3" s="7" t="s">
        <v>26</v>
      </c>
      <c r="I3" s="8">
        <f>AVERAGE(Table1[Decision_Time_sec])</f>
        <v>37.464599999999997</v>
      </c>
      <c r="J3" s="8">
        <f>AVERAGE(Original_Data!C2:C51)</f>
        <v>30.236000000000001</v>
      </c>
      <c r="K3" s="8">
        <f>AVERAGE(Original_Data!D2:D51)</f>
        <v>20.200000000000003</v>
      </c>
      <c r="L3" s="8">
        <f>SUM(J3:K3)</f>
        <v>50.436000000000007</v>
      </c>
      <c r="O3" s="5">
        <f>COUNTIF(Original_Data!F2:F43,"Cone")</f>
        <v>23</v>
      </c>
      <c r="P3" s="5">
        <f>COUNTIF(Original_Data!F2:F51,"Cup")</f>
        <v>18</v>
      </c>
      <c r="Q3" s="5">
        <f>COUNTIF(Original_Data!F2:F51,"Shake")</f>
        <v>2</v>
      </c>
      <c r="R3" s="5">
        <f>COUNTIF(Original_Data!F2:F51,"Split")</f>
        <v>3</v>
      </c>
      <c r="S3" s="5">
        <f>COUNTIF(Original_Data!F2:F51,"Sundae")</f>
        <v>2</v>
      </c>
    </row>
    <row r="4" spans="8:19" ht="14">
      <c r="H4" s="7" t="s">
        <v>7</v>
      </c>
      <c r="I4" s="8">
        <f>AVERAGEIF(Table1[Item],H4,Table1[Decision_Time_sec])</f>
        <v>39.154444444444437</v>
      </c>
      <c r="J4" s="8">
        <f>AVERAGEIF(Table1[Item],H4,Table1[Scoop_Time_sec])</f>
        <v>30.25</v>
      </c>
      <c r="K4" s="8">
        <f>AVERAGEIF(Table1[Item],H4,Table1[Checkout_Time_sec])</f>
        <v>20.259999999999994</v>
      </c>
      <c r="L4" s="8">
        <f>AVERAGEIF(Table1[Item],H4,Table1[Total_Service_Time_sec])</f>
        <v>50.510000000000005</v>
      </c>
    </row>
    <row r="5" spans="8:19" ht="14">
      <c r="H5" s="7" t="s">
        <v>10</v>
      </c>
      <c r="I5" s="8">
        <f>AVERAGEIF(Table1[Item],H5,Table1[Decision_Time_sec])</f>
        <v>36.063999999999986</v>
      </c>
      <c r="J5" s="8">
        <f>AVERAGEIF(Table1[Item],H5,Table1[Scoop_Time_sec])</f>
        <v>27.593199999999996</v>
      </c>
      <c r="K5" s="8">
        <f>AVERAGEIF(Table1[Item],H5,Table1[Checkout_Time_sec])</f>
        <v>20.497600000000002</v>
      </c>
      <c r="L5" s="8">
        <f>AVERAGEIF(Table1[Item],H5,Table1[Total_Service_Time_sec])</f>
        <v>48.090800000000009</v>
      </c>
    </row>
    <row r="6" spans="8:19" ht="14">
      <c r="H6" s="7" t="s">
        <v>18</v>
      </c>
      <c r="I6" s="8">
        <f>AVERAGEIF(Table1[Item],H6,Table1[Decision_Time_sec])</f>
        <v>46.75</v>
      </c>
      <c r="J6" s="8">
        <f>AVERAGEIF(Table1[Item],H6,Table1[Scoop_Time_sec])</f>
        <v>36.31</v>
      </c>
      <c r="K6" s="8">
        <f>AVERAGEIF(Table1[Item],H6,Table1[Checkout_Time_sec])</f>
        <v>19.984999999999999</v>
      </c>
      <c r="L6" s="8">
        <f>AVERAGEIF(Table1[Item],H6,Table1[Total_Service_Time_sec])</f>
        <v>56.295000000000002</v>
      </c>
    </row>
    <row r="7" spans="8:19" ht="14">
      <c r="H7" s="7" t="s">
        <v>17</v>
      </c>
      <c r="I7" s="8">
        <f>AVERAGEIF(Table1[Item],H7,Table1[Decision_Time_sec])</f>
        <v>39.704999999999998</v>
      </c>
      <c r="J7" s="8">
        <f>AVERAGEIF(Table1[Item],H7,Table1[Scoop_Time_sec])</f>
        <v>61.375</v>
      </c>
      <c r="K7" s="8">
        <f>AVERAGEIF(Table1[Item],H7,Table1[Checkout_Time_sec])</f>
        <v>19.335000000000001</v>
      </c>
      <c r="L7" s="8">
        <f>AVERAGEIF(Table1[Item],H7,Table1[Total_Service_Time_sec])</f>
        <v>80.710000000000008</v>
      </c>
    </row>
    <row r="8" spans="8:19" ht="14">
      <c r="H8" s="7" t="s">
        <v>19</v>
      </c>
      <c r="I8" s="8">
        <f>AVERAGEIF(Table1[Item],H8,Table1[Decision_Time_sec])</f>
        <v>31.313333333333333</v>
      </c>
      <c r="J8" s="8">
        <f>AVERAGEIF(Table1[Item],H8,Table1[Scoop_Time_sec])</f>
        <v>27.366666666666671</v>
      </c>
      <c r="K8" s="8">
        <f>AVERAGEIF(Table1[Item],H8,Table1[Checkout_Time_sec])</f>
        <v>18.079999999999998</v>
      </c>
      <c r="L8" s="8">
        <f>AVERAGEIF(Table1[Item],H8,Table1[Total_Service_Time_sec])</f>
        <v>45.446666666666665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0"/>
  <sheetViews>
    <sheetView tabSelected="1" zoomScaleNormal="100" workbookViewId="0">
      <selection sqref="A1:B1"/>
    </sheetView>
  </sheetViews>
  <sheetFormatPr baseColWidth="10" defaultColWidth="12.6640625" defaultRowHeight="13"/>
  <cols>
    <col min="2" max="2" width="18.1640625" customWidth="1"/>
  </cols>
  <sheetData>
    <row r="1" spans="1:2" ht="16">
      <c r="A1" s="1" t="s">
        <v>27</v>
      </c>
      <c r="B1" s="1"/>
    </row>
    <row r="2" spans="1:2" ht="16">
      <c r="A2" s="21" t="s">
        <v>28</v>
      </c>
      <c r="B2" s="21" t="s">
        <v>29</v>
      </c>
    </row>
    <row r="3" spans="1:2" ht="16">
      <c r="A3" s="21" t="s">
        <v>30</v>
      </c>
      <c r="B3" s="22">
        <v>94</v>
      </c>
    </row>
    <row r="4" spans="1:2" ht="16">
      <c r="A4" s="21" t="s">
        <v>31</v>
      </c>
      <c r="B4" s="22">
        <v>134</v>
      </c>
    </row>
    <row r="5" spans="1:2" ht="16">
      <c r="A5" s="21" t="s">
        <v>32</v>
      </c>
      <c r="B5" s="22">
        <v>120</v>
      </c>
    </row>
    <row r="6" spans="1:2" ht="16">
      <c r="A6" s="21" t="s">
        <v>33</v>
      </c>
      <c r="B6" s="22">
        <v>107</v>
      </c>
    </row>
    <row r="7" spans="1:2" ht="16">
      <c r="A7" s="21" t="s">
        <v>34</v>
      </c>
      <c r="B7" s="22">
        <v>120</v>
      </c>
    </row>
    <row r="8" spans="1:2" ht="16">
      <c r="A8" s="21" t="s">
        <v>35</v>
      </c>
      <c r="B8" s="23">
        <f>AVERAGE(B3:B7)</f>
        <v>115</v>
      </c>
    </row>
    <row r="9" spans="1:2" ht="16">
      <c r="A9" s="21"/>
      <c r="B9" s="21"/>
    </row>
    <row r="10" spans="1:2" ht="16">
      <c r="A10" s="1" t="s">
        <v>36</v>
      </c>
      <c r="B10" s="1"/>
    </row>
    <row r="11" spans="1:2" ht="16">
      <c r="A11" s="21" t="s">
        <v>28</v>
      </c>
      <c r="B11" s="21" t="s">
        <v>29</v>
      </c>
    </row>
    <row r="12" spans="1:2" ht="16">
      <c r="A12" s="21" t="s">
        <v>37</v>
      </c>
      <c r="B12" s="22">
        <v>70</v>
      </c>
    </row>
    <row r="13" spans="1:2" ht="16">
      <c r="A13" s="21" t="s">
        <v>30</v>
      </c>
      <c r="B13" s="22">
        <v>103</v>
      </c>
    </row>
    <row r="14" spans="1:2" ht="16">
      <c r="A14" s="21" t="s">
        <v>31</v>
      </c>
      <c r="B14" s="22">
        <v>134</v>
      </c>
    </row>
    <row r="15" spans="1:2" ht="16">
      <c r="A15" s="21" t="s">
        <v>38</v>
      </c>
      <c r="B15" s="22">
        <v>164</v>
      </c>
    </row>
    <row r="16" spans="1:2" ht="16">
      <c r="A16" s="21" t="s">
        <v>39</v>
      </c>
      <c r="B16" s="23">
        <f>AVERAGE(B12:B15)</f>
        <v>117.75</v>
      </c>
    </row>
    <row r="17" spans="1:2" ht="16">
      <c r="A17" s="21"/>
      <c r="B17" s="21"/>
    </row>
    <row r="18" spans="1:2" ht="16">
      <c r="A18" s="1" t="s">
        <v>40</v>
      </c>
      <c r="B18" s="1"/>
    </row>
    <row r="19" spans="1:2" ht="16">
      <c r="A19" s="21" t="s">
        <v>28</v>
      </c>
      <c r="B19" s="21" t="s">
        <v>29</v>
      </c>
    </row>
    <row r="20" spans="1:2" ht="16">
      <c r="A20" s="21" t="s">
        <v>41</v>
      </c>
      <c r="B20" s="22">
        <v>120</v>
      </c>
    </row>
  </sheetData>
  <mergeCells count="3">
    <mergeCell ref="A1:B1"/>
    <mergeCell ref="A10:B10"/>
    <mergeCell ref="A18:B18"/>
  </mergeCell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7f4b8a2-ad4f-41b5-9a91-284d2cc38f56}" enabled="1" method="Standard" siteId="{70de1992-07c6-480f-a318-a1afcba0398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Original_Data</vt:lpstr>
      <vt:lpstr>Summary_Statistics</vt:lpstr>
      <vt:lpstr>Arrival_Rates_Reference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Manthoju, Reethika</cp:lastModifiedBy>
  <cp:revision>1</cp:revision>
  <dcterms:created xsi:type="dcterms:W3CDTF">2026-08-05T03:27:48Z</dcterms:created>
  <dcterms:modified xsi:type="dcterms:W3CDTF">2026-08-05T03:53:05Z</dcterms:modified>
  <dc:language>en-US</dc:language>
</cp:coreProperties>
</file>