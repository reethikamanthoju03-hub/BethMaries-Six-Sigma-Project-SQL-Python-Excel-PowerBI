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<sst xmlns="http://schemas.openxmlformats.org/spreadsheetml/2006/main" count="93" uniqueCount="34">
  <si>
    <t>Friday</t>
  </si>
  <si>
    <t>Time</t>
  </si>
  <si>
    <t>Avg Customer/hour</t>
  </si>
  <si>
    <t>6pm-7pm</t>
  </si>
  <si>
    <t>7pm-8pm</t>
  </si>
  <si>
    <t>8pm-9pm</t>
  </si>
  <si>
    <t>9pm-10pm</t>
  </si>
  <si>
    <t>10pm-11pm</t>
  </si>
  <si>
    <t>Average 6-11pm</t>
  </si>
  <si>
    <t>Saturday</t>
  </si>
  <si>
    <t>2pm-6pm</t>
  </si>
  <si>
    <t>8pm-11pm</t>
  </si>
  <si>
    <t>Average</t>
  </si>
  <si>
    <t>Sunday</t>
  </si>
  <si>
    <t>2pm-10pm</t>
  </si>
  <si>
    <t>Customer</t>
  </si>
  <si>
    <t>Decision Time (ss)</t>
  </si>
  <si>
    <t>Scoop time (ss)</t>
  </si>
  <si>
    <t>Checkout time (ss)</t>
  </si>
  <si>
    <t>Total Service Time</t>
  </si>
  <si>
    <t>Item Selected (Cone, Cup, Split, Shakes)</t>
  </si>
  <si>
    <t>Cup</t>
  </si>
  <si>
    <t>Category</t>
  </si>
  <si>
    <t xml:space="preserve">Average Decision Time </t>
  </si>
  <si>
    <t>Average Scoop Time</t>
  </si>
  <si>
    <t>Average Checkout Time</t>
  </si>
  <si>
    <t>Average Service Time</t>
  </si>
  <si>
    <t>Cone</t>
  </si>
  <si>
    <t>Shake</t>
  </si>
  <si>
    <t xml:space="preserve">Split </t>
  </si>
  <si>
    <t>Sundae</t>
  </si>
  <si>
    <t>Overall</t>
  </si>
  <si>
    <t>shake</t>
  </si>
  <si>
    <t>Split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</si>
</sst>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b/>
      <sz val="12.0"/>
      <color theme="1"/>
      <name val="&quot;Aptos Narrow&quot;"/>
    </font>
    <font>
      <b/>
      <sz val="12.0"/>
      <color theme="1"/>
      <name val="&quot;Aptos Narrow (Body)&quot;"/>
    </font>
    <font>
      <b/>
      <sz val="12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5" fontId="6" numFmtId="0" xfId="0" applyAlignment="1" applyFill="1" applyFon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6" numFmtId="0" xfId="0" applyFont="1"/>
    <xf borderId="0" fillId="0" fontId="6" numFmtId="10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Average Customer Process by Stage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Sheet1!$I$2:$L$2</c:f>
            </c:strRef>
          </c:cat>
          <c:val>
            <c:numRef>
              <c:f>Sheet1!$I$3:$L$3</c:f>
              <c:numCache/>
            </c:numRef>
          </c:val>
        </c:ser>
        <c:axId val="186721303"/>
        <c:axId val="427116097"/>
      </c:bar3DChart>
      <c:catAx>
        <c:axId val="186721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116097"/>
      </c:catAx>
      <c:valAx>
        <c:axId val="427116097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Arial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21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Unit Sales in Percentage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Sheet1!$O$2:$S$2</c:f>
            </c:strRef>
          </c:cat>
          <c:val>
            <c:numRef>
              <c:f>Sheet1!$O$3:$S$3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  <a:r>
              <a:rPr b="1">
                <a:solidFill>
                  <a:srgbClr val="000000"/>
                </a:solidFill>
                <a:latin typeface="Arial"/>
              </a:rPr>
              <a:t>Average Process Time by Item</a:t>
            </a:r>
          </a:p>
        </c:rich>
      </c:tx>
      <c:layout>
        <c:manualLayout>
          <c:xMode val="edge"/>
          <c:yMode val="edge"/>
          <c:x val="0.03091666666666667"/>
          <c:y val="0.02574123989218329"/>
        </c:manualLayout>
      </c:layout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Sheet1!$I$2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Sheet1!$H$3:$H$8</c:f>
            </c:strRef>
          </c:cat>
          <c:val>
            <c:numRef>
              <c:f>Sheet1!$I$3:$I$8</c:f>
              <c:numCache/>
            </c:numRef>
          </c:val>
        </c:ser>
        <c:ser>
          <c:idx val="1"/>
          <c:order val="1"/>
          <c:tx>
            <c:strRef>
              <c:f>Sheet1!$J$2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Sheet1!$H$3:$H$8</c:f>
            </c:strRef>
          </c:cat>
          <c:val>
            <c:numRef>
              <c:f>Sheet1!$J$3:$J$8</c:f>
              <c:numCache/>
            </c:numRef>
          </c:val>
        </c:ser>
        <c:ser>
          <c:idx val="2"/>
          <c:order val="2"/>
          <c:tx>
            <c:strRef>
              <c:f>Sheet1!$K$2</c:f>
            </c:strRef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Sheet1!$H$3:$H$8</c:f>
            </c:strRef>
          </c:cat>
          <c:val>
            <c:numRef>
              <c:f>Sheet1!$K$3:$K$8</c:f>
              <c:numCache/>
            </c:numRef>
          </c:val>
        </c:ser>
        <c:ser>
          <c:idx val="3"/>
          <c:order val="3"/>
          <c:tx>
            <c:strRef>
              <c:f>Sheet1!$L$2</c:f>
            </c:strRef>
          </c:tx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Sheet1!$H$3:$H$8</c:f>
            </c:strRef>
          </c:cat>
          <c:val>
            <c:numRef>
              <c:f>Sheet1!$L$3:$L$8</c:f>
              <c:numCache/>
            </c:numRef>
          </c:val>
        </c:ser>
        <c:axId val="1129216810"/>
        <c:axId val="2124809912"/>
      </c:bar3DChart>
      <c:catAx>
        <c:axId val="1129216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2124809912"/>
      </c:catAx>
      <c:valAx>
        <c:axId val="21248099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Arial"/>
              </a:defRPr>
            </a:pPr>
          </a:p>
        </c:txPr>
        <c:crossAx val="11292168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438150</xdr:colOff>
      <xdr:row>16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438150</xdr:colOff>
      <xdr:row>3</xdr:row>
      <xdr:rowOff>209550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676275</xdr:colOff>
      <xdr:row>9</xdr:row>
      <xdr:rowOff>276225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1" displayName="Table1" name="Table1" id="1">
  <tableColumns count="6">
    <tableColumn name="Customer" id="1"/>
    <tableColumn name="Decision Time (ss)" id="2"/>
    <tableColumn name="Scoop time (ss)" id="3"/>
    <tableColumn name="Checkout time (ss)" id="4"/>
    <tableColumn name="Total Service Time" id="5"/>
    <tableColumn name="Item Selected (Cone, Cup, Split, Shakes)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H2:L8" displayName="Table2" name="Table2" id="2">
  <tableColumns count="5">
    <tableColumn name="Category" id="1"/>
    <tableColumn name="Average Decision Time " id="2"/>
    <tableColumn name="Average Scoop Time" id="3"/>
    <tableColumn name="Average Checkout Time" id="4"/>
    <tableColumn name="Average Service Time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2" max="2" width="26.38"/>
    <col customWidth="1" min="3" max="3" width="23.63"/>
    <col customWidth="1" min="4" max="4" width="26.63"/>
    <col customWidth="1" min="5" max="5" width="26.25"/>
    <col customWidth="1" min="6" max="6" width="28.38"/>
    <col customWidth="1" min="9" max="9" width="15.13"/>
    <col customWidth="1" min="10" max="10" width="14.75"/>
    <col customWidth="1" min="11" max="11" width="15.75"/>
    <col customWidth="1" min="12" max="12" width="14.75"/>
  </cols>
  <sheetData>
    <row r="1" ht="35.25" customHeight="1">
      <c r="A1" s="7" t="s">
        <v>15</v>
      </c>
      <c r="B1" s="8" t="s">
        <v>16</v>
      </c>
      <c r="C1" s="9" t="s">
        <v>17</v>
      </c>
      <c r="D1" s="8" t="s">
        <v>18</v>
      </c>
      <c r="E1" s="8" t="s">
        <v>19</v>
      </c>
      <c r="F1" s="10" t="s">
        <v>20</v>
      </c>
      <c r="G1" s="11"/>
    </row>
    <row r="2" ht="22.5" customHeight="1">
      <c r="A2" s="12">
        <v>1.0</v>
      </c>
      <c r="B2" s="12">
        <v>11.4</v>
      </c>
      <c r="C2" s="12">
        <v>29.54</v>
      </c>
      <c r="D2" s="12">
        <v>19.71</v>
      </c>
      <c r="E2" s="13">
        <f t="shared" ref="E2:E51" si="1">SUM(C2:D2)</f>
        <v>49.25</v>
      </c>
      <c r="F2" s="14" t="s">
        <v>21</v>
      </c>
      <c r="H2" s="15" t="s">
        <v>22</v>
      </c>
      <c r="I2" s="16" t="s">
        <v>23</v>
      </c>
      <c r="J2" s="16" t="s">
        <v>24</v>
      </c>
      <c r="K2" s="16" t="s">
        <v>25</v>
      </c>
      <c r="L2" s="16" t="s">
        <v>26</v>
      </c>
      <c r="O2" s="17" t="s">
        <v>27</v>
      </c>
      <c r="P2" s="18" t="s">
        <v>21</v>
      </c>
      <c r="Q2" s="19" t="s">
        <v>28</v>
      </c>
      <c r="R2" s="20" t="s">
        <v>29</v>
      </c>
      <c r="S2" s="11" t="s">
        <v>30</v>
      </c>
    </row>
    <row r="3" ht="22.5" customHeight="1">
      <c r="A3" s="12">
        <v>2.0</v>
      </c>
      <c r="B3" s="12">
        <v>8.68</v>
      </c>
      <c r="C3" s="12">
        <v>20.16</v>
      </c>
      <c r="D3" s="12">
        <v>21.21</v>
      </c>
      <c r="E3" s="13">
        <f t="shared" si="1"/>
        <v>41.37</v>
      </c>
      <c r="F3" s="14" t="s">
        <v>27</v>
      </c>
      <c r="H3" s="21" t="s">
        <v>31</v>
      </c>
      <c r="I3" s="22">
        <f>AVERAGE(Table1[Decision Time (ss)])</f>
        <v>37.4646</v>
      </c>
      <c r="J3" s="22">
        <f t="shared" ref="J3:K3" si="2">AVERAGE(C2:C51)</f>
        <v>30.236</v>
      </c>
      <c r="K3" s="22">
        <f t="shared" si="2"/>
        <v>20.2</v>
      </c>
      <c r="L3" s="22">
        <f>SUM(J3:K3)</f>
        <v>50.436</v>
      </c>
      <c r="O3" s="23">
        <f>COUNTIF(F2:F43, "Cone")</f>
        <v>23</v>
      </c>
      <c r="P3" s="23">
        <f>COUNTIF(F2:F43,"Cup")</f>
        <v>15</v>
      </c>
      <c r="Q3" s="23">
        <f>COUNTIF(F2:F43,"Shake")</f>
        <v>2</v>
      </c>
      <c r="R3" s="23">
        <f>COUNTIF(F2:F51,"Split")</f>
        <v>3</v>
      </c>
      <c r="S3" s="23">
        <f>COUNTIF(F2:F51,"Sundae")</f>
        <v>2</v>
      </c>
    </row>
    <row r="4" ht="22.5" customHeight="1">
      <c r="A4" s="12">
        <v>3.0</v>
      </c>
      <c r="B4" s="12">
        <v>41.98</v>
      </c>
      <c r="C4" s="12">
        <v>17.88</v>
      </c>
      <c r="D4" s="12">
        <v>16.73</v>
      </c>
      <c r="E4" s="13">
        <f t="shared" si="1"/>
        <v>34.61</v>
      </c>
      <c r="F4" s="14" t="s">
        <v>21</v>
      </c>
      <c r="H4" s="21" t="s">
        <v>21</v>
      </c>
      <c r="I4" s="22">
        <f>AVERAGEIF(Table1[Item Selected (Cone, Cup, Split, Shakes)],H4,Table1[Decision Time (ss)])</f>
        <v>39.15444444</v>
      </c>
      <c r="J4" s="22">
        <f>AVERAGEIF(Table1[Item Selected (Cone, Cup, Split, Shakes)],H4,Table1[Scoop time (ss)])</f>
        <v>30.25</v>
      </c>
      <c r="K4" s="22">
        <f>AVERAGEIF(Table1[Item Selected (Cone, Cup, Split, Shakes)],H4,Table1[Checkout time (ss)])</f>
        <v>20.26</v>
      </c>
      <c r="L4" s="22">
        <f>AVERAGEIF(Table1[Item Selected (Cone, Cup, Split, Shakes)],H4,Table1[Total Service Time])</f>
        <v>50.51</v>
      </c>
    </row>
    <row r="5" ht="22.5" customHeight="1">
      <c r="A5" s="12">
        <v>4.0</v>
      </c>
      <c r="B5" s="12">
        <v>12.59</v>
      </c>
      <c r="C5" s="12">
        <v>29.76</v>
      </c>
      <c r="D5" s="12">
        <v>25.44</v>
      </c>
      <c r="E5" s="13">
        <f t="shared" si="1"/>
        <v>55.2</v>
      </c>
      <c r="F5" s="14" t="s">
        <v>27</v>
      </c>
      <c r="H5" s="21" t="s">
        <v>27</v>
      </c>
      <c r="I5" s="22">
        <f>AVERAGEIF(Table1[Item Selected (Cone, Cup, Split, Shakes)],H5,Table1[Decision Time (ss)])</f>
        <v>36.064</v>
      </c>
      <c r="J5" s="22">
        <f>AVERAGEIF(Table1[Item Selected (Cone, Cup, Split, Shakes)],H5,Table1[Scoop time (ss)])</f>
        <v>27.5932</v>
      </c>
      <c r="K5" s="22">
        <f>AVERAGEIF(Table1[Item Selected (Cone, Cup, Split, Shakes)],H5,Table1[Checkout time (ss)])</f>
        <v>20.4976</v>
      </c>
      <c r="L5" s="22">
        <f>AVERAGEIF(Table1[Item Selected (Cone, Cup, Split, Shakes)],H5,Table1[Total Service Time])</f>
        <v>48.0908</v>
      </c>
      <c r="T5" s="24"/>
    </row>
    <row r="6" ht="22.5" customHeight="1">
      <c r="A6" s="12">
        <v>5.0</v>
      </c>
      <c r="B6" s="12">
        <v>38.53</v>
      </c>
      <c r="C6" s="12">
        <v>13.81</v>
      </c>
      <c r="D6" s="12">
        <v>15.16</v>
      </c>
      <c r="E6" s="13">
        <f t="shared" si="1"/>
        <v>28.97</v>
      </c>
      <c r="F6" s="14" t="s">
        <v>21</v>
      </c>
      <c r="H6" s="21" t="s">
        <v>30</v>
      </c>
      <c r="I6" s="22">
        <f>AVERAGEIF(Table1[Item Selected (Cone, Cup, Split, Shakes)],H6,Table1[Decision Time (ss)])</f>
        <v>46.75</v>
      </c>
      <c r="J6" s="22">
        <f>AVERAGEIF(Table1[Item Selected (Cone, Cup, Split, Shakes)],H6,Table1[Scoop time (ss)])</f>
        <v>36.31</v>
      </c>
      <c r="K6" s="22">
        <f>AVERAGEIF(Table1[Item Selected (Cone, Cup, Split, Shakes)],H6,Table1[Checkout time (ss)])</f>
        <v>19.985</v>
      </c>
      <c r="L6" s="22">
        <f>AVERAGEIF(Table1[Item Selected (Cone, Cup, Split, Shakes)],H6,Table1[Total Service Time])</f>
        <v>56.295</v>
      </c>
    </row>
    <row r="7" ht="22.5" customHeight="1">
      <c r="A7" s="12">
        <v>6.0</v>
      </c>
      <c r="B7" s="12">
        <v>26.1</v>
      </c>
      <c r="C7" s="12">
        <v>9.6</v>
      </c>
      <c r="D7" s="12">
        <v>13.55</v>
      </c>
      <c r="E7" s="13">
        <f t="shared" si="1"/>
        <v>23.15</v>
      </c>
      <c r="F7" s="14" t="s">
        <v>21</v>
      </c>
      <c r="H7" s="21" t="s">
        <v>32</v>
      </c>
      <c r="I7" s="22">
        <f>AVERAGEIF(Table1[Item Selected (Cone, Cup, Split, Shakes)],H7,Table1[Decision Time (ss)])</f>
        <v>39.705</v>
      </c>
      <c r="J7" s="22">
        <f>AVERAGEIF(Table1[Item Selected (Cone, Cup, Split, Shakes)],H7,Table1[Scoop time (ss)])</f>
        <v>61.375</v>
      </c>
      <c r="K7" s="22">
        <f>AVERAGEIF(Table1[Item Selected (Cone, Cup, Split, Shakes)],H7,Table1[Checkout time (ss)])</f>
        <v>19.335</v>
      </c>
      <c r="L7" s="22">
        <f>AVERAGEIF(Table1[Item Selected (Cone, Cup, Split, Shakes)],H7,Table1[Total Service Time])</f>
        <v>80.71</v>
      </c>
    </row>
    <row r="8" ht="22.5" customHeight="1">
      <c r="A8" s="12">
        <v>7.0</v>
      </c>
      <c r="B8" s="12">
        <v>14.83</v>
      </c>
      <c r="C8" s="12">
        <v>31.53</v>
      </c>
      <c r="D8" s="12">
        <v>16.58</v>
      </c>
      <c r="E8" s="13">
        <f t="shared" si="1"/>
        <v>48.11</v>
      </c>
      <c r="F8" s="14" t="s">
        <v>21</v>
      </c>
      <c r="H8" s="21" t="s">
        <v>33</v>
      </c>
      <c r="I8" s="22">
        <f>AVERAGEIF(Table1[Item Selected (Cone, Cup, Split, Shakes)],H8,Table1[Decision Time (ss)])</f>
        <v>31.31333333</v>
      </c>
      <c r="J8" s="22">
        <f>AVERAGEIF(Table1[Item Selected (Cone, Cup, Split, Shakes)],H8,Table1[Scoop time (ss)])</f>
        <v>27.36666667</v>
      </c>
      <c r="K8" s="22">
        <f>AVERAGEIF(Table1[Item Selected (Cone, Cup, Split, Shakes)],H8,Table1[Checkout time (ss)])</f>
        <v>18.08</v>
      </c>
      <c r="L8" s="22">
        <f>AVERAGEIF(Table1[Item Selected (Cone, Cup, Split, Shakes)],H8,Table1[Total Service Time])</f>
        <v>45.44666667</v>
      </c>
    </row>
    <row r="9" ht="22.5" customHeight="1">
      <c r="A9" s="12">
        <v>8.0</v>
      </c>
      <c r="B9" s="12">
        <v>33.13</v>
      </c>
      <c r="C9" s="12">
        <v>18.76</v>
      </c>
      <c r="D9" s="12">
        <v>24.09</v>
      </c>
      <c r="E9" s="13">
        <f t="shared" si="1"/>
        <v>42.85</v>
      </c>
      <c r="F9" s="14" t="s">
        <v>21</v>
      </c>
    </row>
    <row r="10" ht="22.5" customHeight="1">
      <c r="A10" s="12">
        <v>9.0</v>
      </c>
      <c r="B10" s="12">
        <v>92.51</v>
      </c>
      <c r="C10" s="12">
        <v>42.34</v>
      </c>
      <c r="D10" s="12">
        <v>15.11</v>
      </c>
      <c r="E10" s="13">
        <f t="shared" si="1"/>
        <v>57.45</v>
      </c>
      <c r="F10" s="14" t="s">
        <v>27</v>
      </c>
    </row>
    <row r="11" ht="22.5" customHeight="1">
      <c r="A11" s="12">
        <v>10.0</v>
      </c>
      <c r="B11" s="12">
        <v>30.51</v>
      </c>
      <c r="C11" s="12">
        <v>31.46</v>
      </c>
      <c r="D11" s="12">
        <v>17.66</v>
      </c>
      <c r="E11" s="13">
        <f t="shared" si="1"/>
        <v>49.12</v>
      </c>
      <c r="F11" s="14" t="s">
        <v>27</v>
      </c>
    </row>
    <row r="12" ht="22.5" customHeight="1">
      <c r="A12" s="12">
        <v>11.0</v>
      </c>
      <c r="B12" s="12">
        <v>173.16</v>
      </c>
      <c r="C12" s="12">
        <v>49.94</v>
      </c>
      <c r="D12" s="12">
        <v>19.91</v>
      </c>
      <c r="E12" s="13">
        <f t="shared" si="1"/>
        <v>69.85</v>
      </c>
      <c r="F12" s="14" t="s">
        <v>21</v>
      </c>
      <c r="G12" s="11"/>
    </row>
    <row r="13" ht="22.5" customHeight="1">
      <c r="A13" s="12">
        <v>12.0</v>
      </c>
      <c r="B13" s="12">
        <v>19.23</v>
      </c>
      <c r="C13" s="12">
        <v>38.11</v>
      </c>
      <c r="D13" s="12">
        <v>25.08</v>
      </c>
      <c r="E13" s="13">
        <f t="shared" si="1"/>
        <v>63.19</v>
      </c>
      <c r="F13" s="14" t="s">
        <v>27</v>
      </c>
    </row>
    <row r="14" ht="22.5" customHeight="1">
      <c r="A14" s="12">
        <v>13.0</v>
      </c>
      <c r="B14" s="12">
        <v>23.01</v>
      </c>
      <c r="C14" s="12">
        <v>14.35</v>
      </c>
      <c r="D14" s="12">
        <v>17.51</v>
      </c>
      <c r="E14" s="13">
        <f t="shared" si="1"/>
        <v>31.86</v>
      </c>
      <c r="F14" s="14" t="s">
        <v>27</v>
      </c>
    </row>
    <row r="15" ht="22.5" customHeight="1">
      <c r="A15" s="12">
        <v>14.0</v>
      </c>
      <c r="B15" s="12">
        <v>9.9</v>
      </c>
      <c r="C15" s="12">
        <v>31.13</v>
      </c>
      <c r="D15" s="12">
        <v>24.73</v>
      </c>
      <c r="E15" s="13">
        <f t="shared" si="1"/>
        <v>55.86</v>
      </c>
      <c r="F15" s="14" t="s">
        <v>27</v>
      </c>
    </row>
    <row r="16" ht="22.5" customHeight="1">
      <c r="A16" s="12">
        <v>15.0</v>
      </c>
      <c r="B16" s="12">
        <v>13.75</v>
      </c>
      <c r="C16" s="12">
        <v>30.2</v>
      </c>
      <c r="D16" s="12">
        <v>27.48</v>
      </c>
      <c r="E16" s="13">
        <f t="shared" si="1"/>
        <v>57.68</v>
      </c>
      <c r="F16" s="14" t="s">
        <v>21</v>
      </c>
    </row>
    <row r="17" ht="22.5" customHeight="1">
      <c r="A17" s="12">
        <v>16.0</v>
      </c>
      <c r="B17" s="12">
        <v>138.86</v>
      </c>
      <c r="C17" s="12">
        <v>43.76</v>
      </c>
      <c r="D17" s="12">
        <v>21.31</v>
      </c>
      <c r="E17" s="13">
        <f t="shared" si="1"/>
        <v>65.07</v>
      </c>
      <c r="F17" s="14" t="s">
        <v>27</v>
      </c>
    </row>
    <row r="18" ht="22.5" customHeight="1">
      <c r="A18" s="12">
        <v>17.0</v>
      </c>
      <c r="B18" s="12">
        <v>30.06</v>
      </c>
      <c r="C18" s="12">
        <v>19.05</v>
      </c>
      <c r="D18" s="12">
        <v>22.84</v>
      </c>
      <c r="E18" s="13">
        <f t="shared" si="1"/>
        <v>41.89</v>
      </c>
      <c r="F18" s="14" t="s">
        <v>27</v>
      </c>
    </row>
    <row r="19" ht="22.5" customHeight="1">
      <c r="A19" s="12">
        <v>18.0</v>
      </c>
      <c r="B19" s="12">
        <v>44.05</v>
      </c>
      <c r="C19" s="12">
        <v>12.3</v>
      </c>
      <c r="D19" s="12">
        <v>27.78</v>
      </c>
      <c r="E19" s="13">
        <f t="shared" si="1"/>
        <v>40.08</v>
      </c>
      <c r="F19" s="14" t="s">
        <v>27</v>
      </c>
    </row>
    <row r="20" ht="22.5" customHeight="1">
      <c r="A20" s="12">
        <v>19.0</v>
      </c>
      <c r="B20" s="12">
        <v>87.25</v>
      </c>
      <c r="C20" s="12">
        <v>106.7</v>
      </c>
      <c r="D20" s="12">
        <v>29.45</v>
      </c>
      <c r="E20" s="13">
        <f t="shared" si="1"/>
        <v>136.15</v>
      </c>
      <c r="F20" s="14" t="s">
        <v>21</v>
      </c>
    </row>
    <row r="21" ht="22.5" customHeight="1">
      <c r="A21" s="12">
        <v>20.0</v>
      </c>
      <c r="B21" s="12">
        <v>22.24</v>
      </c>
      <c r="C21" s="12">
        <v>39.21</v>
      </c>
      <c r="D21" s="12">
        <v>17.75</v>
      </c>
      <c r="E21" s="13">
        <f t="shared" si="1"/>
        <v>56.96</v>
      </c>
      <c r="F21" s="14" t="s">
        <v>21</v>
      </c>
    </row>
    <row r="22" ht="22.5" customHeight="1">
      <c r="A22" s="12">
        <v>21.0</v>
      </c>
      <c r="B22" s="12">
        <v>61.0</v>
      </c>
      <c r="C22" s="12">
        <v>28.4</v>
      </c>
      <c r="D22" s="12">
        <v>26.8</v>
      </c>
      <c r="E22" s="13">
        <f t="shared" si="1"/>
        <v>55.2</v>
      </c>
      <c r="F22" s="14" t="s">
        <v>27</v>
      </c>
    </row>
    <row r="23" ht="22.5" customHeight="1">
      <c r="A23" s="12">
        <v>22.0</v>
      </c>
      <c r="B23" s="12">
        <v>32.2</v>
      </c>
      <c r="C23" s="12">
        <v>20.05</v>
      </c>
      <c r="D23" s="12">
        <v>18.2</v>
      </c>
      <c r="E23" s="13">
        <f t="shared" si="1"/>
        <v>38.25</v>
      </c>
      <c r="F23" s="14" t="s">
        <v>27</v>
      </c>
    </row>
    <row r="24" ht="22.5" customHeight="1">
      <c r="A24" s="12">
        <v>23.0</v>
      </c>
      <c r="B24" s="12">
        <v>28.32</v>
      </c>
      <c r="C24" s="12">
        <v>18.45</v>
      </c>
      <c r="D24" s="12">
        <v>22.24</v>
      </c>
      <c r="E24" s="13">
        <f t="shared" si="1"/>
        <v>40.69</v>
      </c>
      <c r="F24" s="14" t="s">
        <v>27</v>
      </c>
    </row>
    <row r="25" ht="22.5" customHeight="1">
      <c r="A25" s="12">
        <v>24.0</v>
      </c>
      <c r="B25" s="12">
        <v>36.32</v>
      </c>
      <c r="C25" s="12">
        <v>32.18</v>
      </c>
      <c r="D25" s="12">
        <v>20.54</v>
      </c>
      <c r="E25" s="13">
        <f t="shared" si="1"/>
        <v>52.72</v>
      </c>
      <c r="F25" s="14" t="s">
        <v>21</v>
      </c>
    </row>
    <row r="26" ht="22.5" customHeight="1">
      <c r="A26" s="12">
        <v>25.0</v>
      </c>
      <c r="B26" s="12">
        <v>43.15</v>
      </c>
      <c r="C26" s="12">
        <v>28.21</v>
      </c>
      <c r="D26" s="12">
        <v>22.43</v>
      </c>
      <c r="E26" s="13">
        <f t="shared" si="1"/>
        <v>50.64</v>
      </c>
      <c r="F26" s="14" t="s">
        <v>27</v>
      </c>
    </row>
    <row r="27" ht="22.5" customHeight="1">
      <c r="A27" s="12">
        <v>26.0</v>
      </c>
      <c r="B27" s="12">
        <v>15.2</v>
      </c>
      <c r="C27" s="12">
        <v>70.43</v>
      </c>
      <c r="D27" s="12">
        <v>20.42</v>
      </c>
      <c r="E27" s="13">
        <f t="shared" si="1"/>
        <v>90.85</v>
      </c>
      <c r="F27" s="14" t="s">
        <v>32</v>
      </c>
    </row>
    <row r="28" ht="22.5" customHeight="1">
      <c r="A28" s="12">
        <v>27.0</v>
      </c>
      <c r="B28" s="12">
        <v>13.55</v>
      </c>
      <c r="C28" s="12">
        <v>22.31</v>
      </c>
      <c r="D28" s="12">
        <v>16.51</v>
      </c>
      <c r="E28" s="13">
        <f t="shared" si="1"/>
        <v>38.82</v>
      </c>
      <c r="F28" s="14" t="s">
        <v>27</v>
      </c>
    </row>
    <row r="29" ht="22.5" customHeight="1">
      <c r="A29" s="12">
        <v>28.0</v>
      </c>
      <c r="B29" s="12">
        <v>33.31</v>
      </c>
      <c r="C29" s="12">
        <v>23.12</v>
      </c>
      <c r="D29" s="12">
        <v>16.59</v>
      </c>
      <c r="E29" s="13">
        <f t="shared" si="1"/>
        <v>39.71</v>
      </c>
      <c r="F29" s="14" t="s">
        <v>27</v>
      </c>
    </row>
    <row r="30" ht="22.5" customHeight="1">
      <c r="A30" s="12">
        <v>29.0</v>
      </c>
      <c r="B30" s="12">
        <v>32.12</v>
      </c>
      <c r="C30" s="12">
        <v>16.47</v>
      </c>
      <c r="D30" s="12">
        <v>23.47</v>
      </c>
      <c r="E30" s="13">
        <f t="shared" si="1"/>
        <v>39.94</v>
      </c>
      <c r="F30" s="14" t="s">
        <v>21</v>
      </c>
    </row>
    <row r="31" ht="22.5" customHeight="1">
      <c r="A31" s="12">
        <v>30.0</v>
      </c>
      <c r="B31" s="12">
        <v>64.21</v>
      </c>
      <c r="C31" s="12">
        <v>52.32</v>
      </c>
      <c r="D31" s="12">
        <v>18.25</v>
      </c>
      <c r="E31" s="13">
        <f t="shared" si="1"/>
        <v>70.57</v>
      </c>
      <c r="F31" s="14" t="s">
        <v>32</v>
      </c>
    </row>
    <row r="32" ht="22.5" customHeight="1">
      <c r="A32" s="12">
        <v>31.0</v>
      </c>
      <c r="B32" s="12">
        <v>25.3</v>
      </c>
      <c r="C32" s="12">
        <v>18.51</v>
      </c>
      <c r="D32" s="12">
        <v>26.42</v>
      </c>
      <c r="E32" s="13">
        <f t="shared" si="1"/>
        <v>44.93</v>
      </c>
      <c r="F32" s="14" t="s">
        <v>27</v>
      </c>
    </row>
    <row r="33" ht="22.5" customHeight="1">
      <c r="A33" s="12">
        <v>32.0</v>
      </c>
      <c r="B33" s="12">
        <v>38.42</v>
      </c>
      <c r="C33" s="12">
        <v>25.42</v>
      </c>
      <c r="D33" s="12">
        <v>21.46</v>
      </c>
      <c r="E33" s="13">
        <f t="shared" si="1"/>
        <v>46.88</v>
      </c>
      <c r="F33" s="14" t="s">
        <v>27</v>
      </c>
    </row>
    <row r="34" ht="22.5" customHeight="1">
      <c r="A34" s="12">
        <v>33.0</v>
      </c>
      <c r="B34" s="12">
        <v>37.55</v>
      </c>
      <c r="C34" s="12">
        <v>20.23</v>
      </c>
      <c r="D34" s="12">
        <v>17.58</v>
      </c>
      <c r="E34" s="13">
        <f t="shared" si="1"/>
        <v>37.81</v>
      </c>
      <c r="F34" s="14" t="s">
        <v>27</v>
      </c>
    </row>
    <row r="35" ht="22.5" customHeight="1">
      <c r="A35" s="12">
        <v>34.0</v>
      </c>
      <c r="B35" s="12">
        <v>45.42</v>
      </c>
      <c r="C35" s="12">
        <v>30.43</v>
      </c>
      <c r="D35" s="12">
        <v>21.56</v>
      </c>
      <c r="E35" s="13">
        <f t="shared" si="1"/>
        <v>51.99</v>
      </c>
      <c r="F35" s="14" t="s">
        <v>21</v>
      </c>
    </row>
    <row r="36" ht="22.5" customHeight="1">
      <c r="A36" s="12">
        <v>35.0</v>
      </c>
      <c r="B36" s="12">
        <v>34.55</v>
      </c>
      <c r="C36" s="12">
        <v>26.24</v>
      </c>
      <c r="D36" s="12">
        <v>23.45</v>
      </c>
      <c r="E36" s="13">
        <f t="shared" si="1"/>
        <v>49.69</v>
      </c>
      <c r="F36" s="14" t="s">
        <v>21</v>
      </c>
    </row>
    <row r="37" ht="22.5" customHeight="1">
      <c r="A37" s="12">
        <v>36.0</v>
      </c>
      <c r="B37" s="12">
        <v>45.0</v>
      </c>
      <c r="C37" s="12">
        <v>22.13</v>
      </c>
      <c r="D37" s="12">
        <v>16.5</v>
      </c>
      <c r="E37" s="13">
        <f t="shared" si="1"/>
        <v>38.63</v>
      </c>
      <c r="F37" s="14" t="s">
        <v>27</v>
      </c>
    </row>
    <row r="38" ht="22.5" customHeight="1">
      <c r="A38" s="12">
        <v>37.0</v>
      </c>
      <c r="B38" s="12">
        <v>32.43</v>
      </c>
      <c r="C38" s="12">
        <v>27.26</v>
      </c>
      <c r="D38" s="12">
        <v>15.2</v>
      </c>
      <c r="E38" s="13">
        <f t="shared" si="1"/>
        <v>42.46</v>
      </c>
      <c r="F38" s="14" t="s">
        <v>27</v>
      </c>
    </row>
    <row r="39" ht="22.5" customHeight="1">
      <c r="A39" s="12">
        <v>38.0</v>
      </c>
      <c r="B39" s="12">
        <v>61.2</v>
      </c>
      <c r="C39" s="12">
        <v>32.12</v>
      </c>
      <c r="D39" s="12">
        <v>21.07</v>
      </c>
      <c r="E39" s="13">
        <f t="shared" si="1"/>
        <v>53.19</v>
      </c>
      <c r="F39" s="14" t="s">
        <v>30</v>
      </c>
    </row>
    <row r="40" ht="22.5" customHeight="1">
      <c r="A40" s="12">
        <v>39.0</v>
      </c>
      <c r="B40" s="12">
        <v>23.5</v>
      </c>
      <c r="C40" s="12">
        <v>86.42</v>
      </c>
      <c r="D40" s="12">
        <v>19.24</v>
      </c>
      <c r="E40" s="13">
        <f t="shared" si="1"/>
        <v>105.66</v>
      </c>
      <c r="F40" s="14" t="s">
        <v>27</v>
      </c>
    </row>
    <row r="41" ht="22.5" customHeight="1">
      <c r="A41" s="12">
        <v>40.0</v>
      </c>
      <c r="B41" s="12">
        <v>30.3</v>
      </c>
      <c r="C41" s="12">
        <v>25.31</v>
      </c>
      <c r="D41" s="12">
        <v>20.46</v>
      </c>
      <c r="E41" s="13">
        <f t="shared" si="1"/>
        <v>45.77</v>
      </c>
      <c r="F41" s="14" t="s">
        <v>21</v>
      </c>
    </row>
    <row r="42" ht="22.5" customHeight="1">
      <c r="A42" s="12">
        <v>41.0</v>
      </c>
      <c r="B42" s="12">
        <v>42.43</v>
      </c>
      <c r="C42" s="12">
        <v>30.24</v>
      </c>
      <c r="D42" s="12">
        <v>16.34</v>
      </c>
      <c r="E42" s="13">
        <f t="shared" si="1"/>
        <v>46.58</v>
      </c>
      <c r="F42" s="14" t="s">
        <v>33</v>
      </c>
    </row>
    <row r="43" ht="22.5" customHeight="1">
      <c r="A43" s="12">
        <v>42.0</v>
      </c>
      <c r="B43" s="12">
        <v>34.15</v>
      </c>
      <c r="C43" s="12">
        <v>26.4</v>
      </c>
      <c r="D43" s="12">
        <v>21.5</v>
      </c>
      <c r="E43" s="13">
        <f t="shared" si="1"/>
        <v>47.9</v>
      </c>
      <c r="F43" s="14" t="s">
        <v>27</v>
      </c>
    </row>
    <row r="44" ht="22.5" customHeight="1">
      <c r="A44" s="12">
        <v>43.0</v>
      </c>
      <c r="B44" s="12">
        <v>22.0</v>
      </c>
      <c r="C44" s="12">
        <v>22.0</v>
      </c>
      <c r="D44" s="12">
        <v>16.0</v>
      </c>
      <c r="E44" s="13">
        <f t="shared" si="1"/>
        <v>38</v>
      </c>
      <c r="F44" s="14" t="s">
        <v>21</v>
      </c>
    </row>
    <row r="45" ht="22.5" customHeight="1">
      <c r="A45" s="12">
        <v>44.0</v>
      </c>
      <c r="B45" s="12">
        <v>19.5</v>
      </c>
      <c r="C45" s="12">
        <v>19.0</v>
      </c>
      <c r="D45" s="12">
        <v>20.08</v>
      </c>
      <c r="E45" s="13">
        <f t="shared" si="1"/>
        <v>39.08</v>
      </c>
      <c r="F45" s="14" t="s">
        <v>21</v>
      </c>
    </row>
    <row r="46" ht="22.5" customHeight="1">
      <c r="A46" s="12">
        <v>45.0</v>
      </c>
      <c r="B46" s="12">
        <v>22.12</v>
      </c>
      <c r="C46" s="12">
        <v>21.5</v>
      </c>
      <c r="D46" s="12">
        <v>16.6</v>
      </c>
      <c r="E46" s="13">
        <f t="shared" si="1"/>
        <v>38.1</v>
      </c>
      <c r="F46" s="14" t="s">
        <v>27</v>
      </c>
    </row>
    <row r="47" ht="22.5" customHeight="1">
      <c r="A47" s="12">
        <v>46.0</v>
      </c>
      <c r="B47" s="12">
        <v>22.2</v>
      </c>
      <c r="C47" s="12">
        <v>19.0</v>
      </c>
      <c r="D47" s="12">
        <v>16.5</v>
      </c>
      <c r="E47" s="13">
        <f t="shared" si="1"/>
        <v>35.5</v>
      </c>
      <c r="F47" s="14" t="s">
        <v>27</v>
      </c>
    </row>
    <row r="48" ht="22.5" customHeight="1">
      <c r="A48" s="12">
        <v>47.0</v>
      </c>
      <c r="B48" s="12">
        <v>33.32</v>
      </c>
      <c r="C48" s="12">
        <v>25.6</v>
      </c>
      <c r="D48" s="12">
        <v>18.6</v>
      </c>
      <c r="E48" s="13">
        <f t="shared" si="1"/>
        <v>44.2</v>
      </c>
      <c r="F48" s="14" t="s">
        <v>33</v>
      </c>
    </row>
    <row r="49" ht="22.5" customHeight="1">
      <c r="A49" s="12">
        <v>48.0</v>
      </c>
      <c r="B49" s="12">
        <v>22.2</v>
      </c>
      <c r="C49" s="12">
        <v>25.7</v>
      </c>
      <c r="D49" s="12">
        <v>18.71</v>
      </c>
      <c r="E49" s="13">
        <f t="shared" si="1"/>
        <v>44.41</v>
      </c>
      <c r="F49" s="14" t="s">
        <v>21</v>
      </c>
    </row>
    <row r="50" ht="22.5" customHeight="1">
      <c r="A50" s="12">
        <v>49.0</v>
      </c>
      <c r="B50" s="12">
        <v>18.19</v>
      </c>
      <c r="C50" s="12">
        <v>26.26</v>
      </c>
      <c r="D50" s="12">
        <v>19.3</v>
      </c>
      <c r="E50" s="13">
        <f t="shared" si="1"/>
        <v>45.56</v>
      </c>
      <c r="F50" s="14" t="s">
        <v>33</v>
      </c>
    </row>
    <row r="51" ht="22.5" customHeight="1">
      <c r="A51" s="12">
        <v>50.0</v>
      </c>
      <c r="B51" s="12">
        <v>32.3</v>
      </c>
      <c r="C51" s="12">
        <v>40.5</v>
      </c>
      <c r="D51" s="12">
        <v>18.9</v>
      </c>
      <c r="E51" s="13">
        <f t="shared" si="1"/>
        <v>59.4</v>
      </c>
      <c r="F51" s="14" t="s">
        <v>30</v>
      </c>
    </row>
  </sheetData>
  <dataValidations>
    <dataValidation type="list" allowBlank="1" sqref="F2:F51">
      <formula1>"Cup,Cone,Sundae,shake,Split"</formula1>
    </dataValidation>
    <dataValidation type="custom" allowBlank="1" showDropDown="1" sqref="I3:L8 A2:E51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94.0</v>
      </c>
    </row>
    <row r="4">
      <c r="A4" s="2" t="s">
        <v>4</v>
      </c>
      <c r="B4" s="3">
        <v>134.0</v>
      </c>
    </row>
    <row r="5">
      <c r="A5" s="2" t="s">
        <v>5</v>
      </c>
      <c r="B5" s="3">
        <v>120.0</v>
      </c>
    </row>
    <row r="6">
      <c r="A6" s="2" t="s">
        <v>6</v>
      </c>
      <c r="B6" s="3">
        <v>107.0</v>
      </c>
    </row>
    <row r="7">
      <c r="A7" s="2" t="s">
        <v>7</v>
      </c>
      <c r="B7" s="3">
        <v>120.0</v>
      </c>
    </row>
    <row r="8">
      <c r="A8" s="4" t="s">
        <v>8</v>
      </c>
      <c r="B8" s="5">
        <f>AVERAGE(B3:B7)</f>
        <v>115</v>
      </c>
    </row>
    <row r="9">
      <c r="A9" s="6"/>
      <c r="B9" s="6"/>
    </row>
    <row r="10">
      <c r="A10" s="1" t="s">
        <v>9</v>
      </c>
    </row>
    <row r="11">
      <c r="A11" s="2" t="s">
        <v>1</v>
      </c>
      <c r="B11" s="2" t="s">
        <v>2</v>
      </c>
    </row>
    <row r="12">
      <c r="A12" s="2" t="s">
        <v>10</v>
      </c>
      <c r="B12" s="3">
        <v>70.0</v>
      </c>
    </row>
    <row r="13">
      <c r="A13" s="2" t="s">
        <v>3</v>
      </c>
      <c r="B13" s="3">
        <v>103.0</v>
      </c>
    </row>
    <row r="14">
      <c r="A14" s="2" t="s">
        <v>4</v>
      </c>
      <c r="B14" s="3">
        <v>134.0</v>
      </c>
    </row>
    <row r="15">
      <c r="A15" s="2" t="s">
        <v>11</v>
      </c>
      <c r="B15" s="3">
        <v>164.0</v>
      </c>
    </row>
    <row r="16">
      <c r="A16" s="2" t="s">
        <v>12</v>
      </c>
      <c r="B16" s="5">
        <f>AVERAGE(B12:B15)</f>
        <v>117.75</v>
      </c>
    </row>
    <row r="17">
      <c r="A17" s="6"/>
      <c r="B17" s="6"/>
    </row>
    <row r="18">
      <c r="A18" s="1" t="s">
        <v>13</v>
      </c>
    </row>
    <row r="19">
      <c r="A19" s="2" t="s">
        <v>1</v>
      </c>
      <c r="B19" s="2" t="s">
        <v>2</v>
      </c>
    </row>
    <row r="20">
      <c r="A20" s="2" t="s">
        <v>14</v>
      </c>
      <c r="B20" s="3">
        <v>120.0</v>
      </c>
    </row>
  </sheetData>
  <mergeCells count="3">
    <mergeCell ref="A1:B1"/>
    <mergeCell ref="A10:B10"/>
    <mergeCell ref="A18:B18"/>
  </mergeCells>
  <drawing r:id="rId1"/>
</worksheet>
</file>